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sa Putra 2\Documents\Rifqi\Laporan Tridharma Dosen\Raport Dosen 2025-2026 Gasal\"/>
    </mc:Choice>
  </mc:AlternateContent>
  <xr:revisionPtr revIDLastSave="0" documentId="13_ncr:1_{FEECFE52-3B5F-467F-AFB0-10CAB1A9D4DD}" xr6:coauthVersionLast="47" xr6:coauthVersionMax="47" xr10:uidLastSave="{00000000-0000-0000-0000-000000000000}"/>
  <bookViews>
    <workbookView xWindow="10800" yWindow="0" windowWidth="10800" windowHeight="12900" tabRatio="771" xr2:uid="{00000000-000D-0000-FFFF-FFFF00000000}"/>
  </bookViews>
  <sheets>
    <sheet name="Data Dosen" sheetId="1" r:id="rId1"/>
    <sheet name="Skor Bobot" sheetId="5" r:id="rId2"/>
    <sheet name="Skor" sheetId="13" r:id="rId3"/>
    <sheet name="Rata-Rata" sheetId="4" r:id="rId4"/>
    <sheet name="Rapot" sheetId="21" r:id="rId5"/>
  </sheets>
  <definedNames>
    <definedName name="_xlnm._FilterDatabase" localSheetId="0" hidden="1">'Data Dosen'!$A$1:$T$355</definedName>
    <definedName name="_xlnm.Print_Area" localSheetId="4">Rapot!$A$2:$I$48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4" l="1"/>
  <c r="G28" i="4"/>
  <c r="G27" i="4"/>
  <c r="G26" i="4"/>
  <c r="G25" i="4"/>
  <c r="G24" i="4"/>
  <c r="G23" i="4"/>
  <c r="G22" i="4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M2" i="4"/>
  <c r="N2" i="4" s="1"/>
  <c r="M3" i="4"/>
  <c r="N3" i="4" s="1"/>
  <c r="B34" i="21" l="1"/>
  <c r="B36" i="21"/>
  <c r="B33" i="21"/>
  <c r="A2" i="13" l="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116" i="13"/>
  <c r="A117" i="13"/>
  <c r="A118" i="13"/>
  <c r="A119" i="13"/>
  <c r="A120" i="13"/>
  <c r="A121" i="13"/>
  <c r="A122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H2" i="5"/>
  <c r="I2" i="5"/>
  <c r="J2" i="5"/>
  <c r="K2" i="5"/>
  <c r="L2" i="5"/>
  <c r="H3" i="5"/>
  <c r="I3" i="5"/>
  <c r="J3" i="5"/>
  <c r="K3" i="5"/>
  <c r="L3" i="5"/>
  <c r="H4" i="5"/>
  <c r="I4" i="5"/>
  <c r="J4" i="5"/>
  <c r="K4" i="5"/>
  <c r="L4" i="5"/>
  <c r="H5" i="5"/>
  <c r="I5" i="5"/>
  <c r="J5" i="5"/>
  <c r="K5" i="5"/>
  <c r="L5" i="5"/>
  <c r="H6" i="5"/>
  <c r="I6" i="5"/>
  <c r="J6" i="5"/>
  <c r="K6" i="5"/>
  <c r="L6" i="5"/>
  <c r="C22" i="21"/>
  <c r="C21" i="21"/>
  <c r="C20" i="21"/>
  <c r="C19" i="21"/>
  <c r="C18" i="21"/>
  <c r="C15" i="21"/>
  <c r="C14" i="21"/>
  <c r="C13" i="21"/>
  <c r="C12" i="21"/>
  <c r="C11" i="21"/>
  <c r="M3" i="5" l="1"/>
  <c r="B3" i="13" s="1"/>
  <c r="M2" i="5"/>
  <c r="B2" i="13" s="1"/>
  <c r="M6" i="5"/>
  <c r="B6" i="13" s="1"/>
  <c r="M5" i="5"/>
  <c r="B5" i="13" s="1"/>
  <c r="M4" i="5"/>
  <c r="B4" i="13" s="1"/>
  <c r="B35" i="21"/>
  <c r="B30" i="21"/>
  <c r="B29" i="21"/>
  <c r="B28" i="21"/>
  <c r="B27" i="21"/>
  <c r="B26" i="21"/>
  <c r="D22" i="21"/>
  <c r="D21" i="21"/>
  <c r="D20" i="21"/>
  <c r="D19" i="21"/>
  <c r="D18" i="21"/>
  <c r="A227" i="13" l="1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26" i="13"/>
  <c r="M4" i="4" l="1"/>
  <c r="N4" i="4" s="1"/>
  <c r="M5" i="4"/>
  <c r="N5" i="4" s="1"/>
  <c r="M6" i="4"/>
  <c r="N6" i="4" s="1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K1000" i="5"/>
  <c r="J1000" i="5"/>
  <c r="I1000" i="5"/>
  <c r="K999" i="5"/>
  <c r="J999" i="5"/>
  <c r="I999" i="5"/>
  <c r="K998" i="5"/>
  <c r="J998" i="5"/>
  <c r="I998" i="5"/>
  <c r="K997" i="5"/>
  <c r="J997" i="5"/>
  <c r="I997" i="5"/>
  <c r="K996" i="5"/>
  <c r="J996" i="5"/>
  <c r="I996" i="5"/>
  <c r="K995" i="5"/>
  <c r="J995" i="5"/>
  <c r="I995" i="5"/>
  <c r="K994" i="5"/>
  <c r="J994" i="5"/>
  <c r="I994" i="5"/>
  <c r="K993" i="5"/>
  <c r="J993" i="5"/>
  <c r="I993" i="5"/>
  <c r="K992" i="5"/>
  <c r="J992" i="5"/>
  <c r="I992" i="5"/>
  <c r="K991" i="5"/>
  <c r="J991" i="5"/>
  <c r="I991" i="5"/>
  <c r="K990" i="5"/>
  <c r="J990" i="5"/>
  <c r="I990" i="5"/>
  <c r="K989" i="5"/>
  <c r="J989" i="5"/>
  <c r="I989" i="5"/>
  <c r="K988" i="5"/>
  <c r="J988" i="5"/>
  <c r="I988" i="5"/>
  <c r="K987" i="5"/>
  <c r="J987" i="5"/>
  <c r="I987" i="5"/>
  <c r="K986" i="5"/>
  <c r="J986" i="5"/>
  <c r="I986" i="5"/>
  <c r="K985" i="5"/>
  <c r="J985" i="5"/>
  <c r="I985" i="5"/>
  <c r="K984" i="5"/>
  <c r="J984" i="5"/>
  <c r="I984" i="5"/>
  <c r="K983" i="5"/>
  <c r="J983" i="5"/>
  <c r="I983" i="5"/>
  <c r="K982" i="5"/>
  <c r="J982" i="5"/>
  <c r="I982" i="5"/>
  <c r="K981" i="5"/>
  <c r="J981" i="5"/>
  <c r="I981" i="5"/>
  <c r="K980" i="5"/>
  <c r="J980" i="5"/>
  <c r="I980" i="5"/>
  <c r="K979" i="5"/>
  <c r="J979" i="5"/>
  <c r="I979" i="5"/>
  <c r="K978" i="5"/>
  <c r="J978" i="5"/>
  <c r="I978" i="5"/>
  <c r="K977" i="5"/>
  <c r="J977" i="5"/>
  <c r="I977" i="5"/>
  <c r="K976" i="5"/>
  <c r="J976" i="5"/>
  <c r="I976" i="5"/>
  <c r="K975" i="5"/>
  <c r="J975" i="5"/>
  <c r="I975" i="5"/>
  <c r="K974" i="5"/>
  <c r="J974" i="5"/>
  <c r="I974" i="5"/>
  <c r="K973" i="5"/>
  <c r="J973" i="5"/>
  <c r="I973" i="5"/>
  <c r="K972" i="5"/>
  <c r="J972" i="5"/>
  <c r="I972" i="5"/>
  <c r="K971" i="5"/>
  <c r="J971" i="5"/>
  <c r="I971" i="5"/>
  <c r="K970" i="5"/>
  <c r="J970" i="5"/>
  <c r="I970" i="5"/>
  <c r="K969" i="5"/>
  <c r="J969" i="5"/>
  <c r="I969" i="5"/>
  <c r="K968" i="5"/>
  <c r="J968" i="5"/>
  <c r="I968" i="5"/>
  <c r="K967" i="5"/>
  <c r="J967" i="5"/>
  <c r="I967" i="5"/>
  <c r="K966" i="5"/>
  <c r="J966" i="5"/>
  <c r="I966" i="5"/>
  <c r="K965" i="5"/>
  <c r="J965" i="5"/>
  <c r="I965" i="5"/>
  <c r="K964" i="5"/>
  <c r="J964" i="5"/>
  <c r="I964" i="5"/>
  <c r="K963" i="5"/>
  <c r="J963" i="5"/>
  <c r="I963" i="5"/>
  <c r="K962" i="5"/>
  <c r="J962" i="5"/>
  <c r="I962" i="5"/>
  <c r="K961" i="5"/>
  <c r="J961" i="5"/>
  <c r="I961" i="5"/>
  <c r="K960" i="5"/>
  <c r="J960" i="5"/>
  <c r="I960" i="5"/>
  <c r="K959" i="5"/>
  <c r="J959" i="5"/>
  <c r="I959" i="5"/>
  <c r="K958" i="5"/>
  <c r="J958" i="5"/>
  <c r="I958" i="5"/>
  <c r="K957" i="5"/>
  <c r="J957" i="5"/>
  <c r="I957" i="5"/>
  <c r="K956" i="5"/>
  <c r="J956" i="5"/>
  <c r="I956" i="5"/>
  <c r="K955" i="5"/>
  <c r="J955" i="5"/>
  <c r="I955" i="5"/>
  <c r="K954" i="5"/>
  <c r="J954" i="5"/>
  <c r="I954" i="5"/>
  <c r="K953" i="5"/>
  <c r="J953" i="5"/>
  <c r="I953" i="5"/>
  <c r="K952" i="5"/>
  <c r="J952" i="5"/>
  <c r="I952" i="5"/>
  <c r="K951" i="5"/>
  <c r="J951" i="5"/>
  <c r="I951" i="5"/>
  <c r="K950" i="5"/>
  <c r="J950" i="5"/>
  <c r="I950" i="5"/>
  <c r="K949" i="5"/>
  <c r="J949" i="5"/>
  <c r="I949" i="5"/>
  <c r="K948" i="5"/>
  <c r="J948" i="5"/>
  <c r="I948" i="5"/>
  <c r="K947" i="5"/>
  <c r="J947" i="5"/>
  <c r="I947" i="5"/>
  <c r="K946" i="5"/>
  <c r="J946" i="5"/>
  <c r="I946" i="5"/>
  <c r="K945" i="5"/>
  <c r="J945" i="5"/>
  <c r="I945" i="5"/>
  <c r="K944" i="5"/>
  <c r="J944" i="5"/>
  <c r="I944" i="5"/>
  <c r="K943" i="5"/>
  <c r="J943" i="5"/>
  <c r="I943" i="5"/>
  <c r="K942" i="5"/>
  <c r="J942" i="5"/>
  <c r="I942" i="5"/>
  <c r="K941" i="5"/>
  <c r="J941" i="5"/>
  <c r="I941" i="5"/>
  <c r="K940" i="5"/>
  <c r="J940" i="5"/>
  <c r="I940" i="5"/>
  <c r="K939" i="5"/>
  <c r="J939" i="5"/>
  <c r="I939" i="5"/>
  <c r="K938" i="5"/>
  <c r="J938" i="5"/>
  <c r="I938" i="5"/>
  <c r="K937" i="5"/>
  <c r="J937" i="5"/>
  <c r="I937" i="5"/>
  <c r="K936" i="5"/>
  <c r="J936" i="5"/>
  <c r="I936" i="5"/>
  <c r="K935" i="5"/>
  <c r="J935" i="5"/>
  <c r="I935" i="5"/>
  <c r="K934" i="5"/>
  <c r="J934" i="5"/>
  <c r="I934" i="5"/>
  <c r="K933" i="5"/>
  <c r="J933" i="5"/>
  <c r="I933" i="5"/>
  <c r="K932" i="5"/>
  <c r="J932" i="5"/>
  <c r="I932" i="5"/>
  <c r="K931" i="5"/>
  <c r="J931" i="5"/>
  <c r="I931" i="5"/>
  <c r="K930" i="5"/>
  <c r="J930" i="5"/>
  <c r="I930" i="5"/>
  <c r="K929" i="5"/>
  <c r="J929" i="5"/>
  <c r="I929" i="5"/>
  <c r="K928" i="5"/>
  <c r="J928" i="5"/>
  <c r="I928" i="5"/>
  <c r="K927" i="5"/>
  <c r="J927" i="5"/>
  <c r="I927" i="5"/>
  <c r="K926" i="5"/>
  <c r="J926" i="5"/>
  <c r="I926" i="5"/>
  <c r="K925" i="5"/>
  <c r="J925" i="5"/>
  <c r="I925" i="5"/>
  <c r="K924" i="5"/>
  <c r="J924" i="5"/>
  <c r="I924" i="5"/>
  <c r="K923" i="5"/>
  <c r="J923" i="5"/>
  <c r="I923" i="5"/>
  <c r="K922" i="5"/>
  <c r="J922" i="5"/>
  <c r="I922" i="5"/>
  <c r="K921" i="5"/>
  <c r="J921" i="5"/>
  <c r="I921" i="5"/>
  <c r="K920" i="5"/>
  <c r="J920" i="5"/>
  <c r="I920" i="5"/>
  <c r="K919" i="5"/>
  <c r="J919" i="5"/>
  <c r="I919" i="5"/>
  <c r="K918" i="5"/>
  <c r="J918" i="5"/>
  <c r="I918" i="5"/>
  <c r="K917" i="5"/>
  <c r="J917" i="5"/>
  <c r="I917" i="5"/>
  <c r="K916" i="5"/>
  <c r="J916" i="5"/>
  <c r="I916" i="5"/>
  <c r="K915" i="5"/>
  <c r="J915" i="5"/>
  <c r="I915" i="5"/>
  <c r="K914" i="5"/>
  <c r="J914" i="5"/>
  <c r="I914" i="5"/>
  <c r="K913" i="5"/>
  <c r="J913" i="5"/>
  <c r="I913" i="5"/>
  <c r="K912" i="5"/>
  <c r="J912" i="5"/>
  <c r="I912" i="5"/>
  <c r="K911" i="5"/>
  <c r="J911" i="5"/>
  <c r="I911" i="5"/>
  <c r="K910" i="5"/>
  <c r="J910" i="5"/>
  <c r="I910" i="5"/>
  <c r="K909" i="5"/>
  <c r="J909" i="5"/>
  <c r="I909" i="5"/>
  <c r="K908" i="5"/>
  <c r="J908" i="5"/>
  <c r="I908" i="5"/>
  <c r="K907" i="5"/>
  <c r="J907" i="5"/>
  <c r="I907" i="5"/>
  <c r="K906" i="5"/>
  <c r="J906" i="5"/>
  <c r="I906" i="5"/>
  <c r="K905" i="5"/>
  <c r="J905" i="5"/>
  <c r="I905" i="5"/>
  <c r="K904" i="5"/>
  <c r="J904" i="5"/>
  <c r="I904" i="5"/>
  <c r="K903" i="5"/>
  <c r="J903" i="5"/>
  <c r="I903" i="5"/>
  <c r="K902" i="5"/>
  <c r="J902" i="5"/>
  <c r="I902" i="5"/>
  <c r="K901" i="5"/>
  <c r="J901" i="5"/>
  <c r="I901" i="5"/>
  <c r="K900" i="5"/>
  <c r="J900" i="5"/>
  <c r="I900" i="5"/>
  <c r="K899" i="5"/>
  <c r="J899" i="5"/>
  <c r="I899" i="5"/>
  <c r="K898" i="5"/>
  <c r="J898" i="5"/>
  <c r="I898" i="5"/>
  <c r="K897" i="5"/>
  <c r="J897" i="5"/>
  <c r="I897" i="5"/>
  <c r="K896" i="5"/>
  <c r="J896" i="5"/>
  <c r="I896" i="5"/>
  <c r="K895" i="5"/>
  <c r="J895" i="5"/>
  <c r="I895" i="5"/>
  <c r="K894" i="5"/>
  <c r="J894" i="5"/>
  <c r="I894" i="5"/>
  <c r="K893" i="5"/>
  <c r="J893" i="5"/>
  <c r="I893" i="5"/>
  <c r="K892" i="5"/>
  <c r="J892" i="5"/>
  <c r="I892" i="5"/>
  <c r="K891" i="5"/>
  <c r="J891" i="5"/>
  <c r="I891" i="5"/>
  <c r="K890" i="5"/>
  <c r="J890" i="5"/>
  <c r="I890" i="5"/>
  <c r="K889" i="5"/>
  <c r="J889" i="5"/>
  <c r="I889" i="5"/>
  <c r="K888" i="5"/>
  <c r="J888" i="5"/>
  <c r="I888" i="5"/>
  <c r="K887" i="5"/>
  <c r="J887" i="5"/>
  <c r="I887" i="5"/>
  <c r="K886" i="5"/>
  <c r="J886" i="5"/>
  <c r="I886" i="5"/>
  <c r="K885" i="5"/>
  <c r="J885" i="5"/>
  <c r="I885" i="5"/>
  <c r="K884" i="5"/>
  <c r="J884" i="5"/>
  <c r="I884" i="5"/>
  <c r="K883" i="5"/>
  <c r="J883" i="5"/>
  <c r="I883" i="5"/>
  <c r="K882" i="5"/>
  <c r="J882" i="5"/>
  <c r="I882" i="5"/>
  <c r="K881" i="5"/>
  <c r="J881" i="5"/>
  <c r="I881" i="5"/>
  <c r="K880" i="5"/>
  <c r="J880" i="5"/>
  <c r="I880" i="5"/>
  <c r="K879" i="5"/>
  <c r="J879" i="5"/>
  <c r="I879" i="5"/>
  <c r="K878" i="5"/>
  <c r="J878" i="5"/>
  <c r="I878" i="5"/>
  <c r="K877" i="5"/>
  <c r="J877" i="5"/>
  <c r="I877" i="5"/>
  <c r="K876" i="5"/>
  <c r="J876" i="5"/>
  <c r="I876" i="5"/>
  <c r="K875" i="5"/>
  <c r="J875" i="5"/>
  <c r="I875" i="5"/>
  <c r="K874" i="5"/>
  <c r="J874" i="5"/>
  <c r="I874" i="5"/>
  <c r="K873" i="5"/>
  <c r="J873" i="5"/>
  <c r="I873" i="5"/>
  <c r="K872" i="5"/>
  <c r="J872" i="5"/>
  <c r="I872" i="5"/>
  <c r="K871" i="5"/>
  <c r="J871" i="5"/>
  <c r="I871" i="5"/>
  <c r="K870" i="5"/>
  <c r="J870" i="5"/>
  <c r="I870" i="5"/>
  <c r="K869" i="5"/>
  <c r="J869" i="5"/>
  <c r="I869" i="5"/>
  <c r="K868" i="5"/>
  <c r="J868" i="5"/>
  <c r="I868" i="5"/>
  <c r="K867" i="5"/>
  <c r="J867" i="5"/>
  <c r="I867" i="5"/>
  <c r="K866" i="5"/>
  <c r="J866" i="5"/>
  <c r="I866" i="5"/>
  <c r="K865" i="5"/>
  <c r="J865" i="5"/>
  <c r="I865" i="5"/>
  <c r="K864" i="5"/>
  <c r="J864" i="5"/>
  <c r="I864" i="5"/>
  <c r="K863" i="5"/>
  <c r="J863" i="5"/>
  <c r="I863" i="5"/>
  <c r="K862" i="5"/>
  <c r="J862" i="5"/>
  <c r="I862" i="5"/>
  <c r="K861" i="5"/>
  <c r="J861" i="5"/>
  <c r="I861" i="5"/>
  <c r="K860" i="5"/>
  <c r="J860" i="5"/>
  <c r="I860" i="5"/>
  <c r="K859" i="5"/>
  <c r="J859" i="5"/>
  <c r="I859" i="5"/>
  <c r="K858" i="5"/>
  <c r="J858" i="5"/>
  <c r="I858" i="5"/>
  <c r="K857" i="5"/>
  <c r="J857" i="5"/>
  <c r="I857" i="5"/>
  <c r="K856" i="5"/>
  <c r="J856" i="5"/>
  <c r="I856" i="5"/>
  <c r="K855" i="5"/>
  <c r="J855" i="5"/>
  <c r="I855" i="5"/>
  <c r="K854" i="5"/>
  <c r="J854" i="5"/>
  <c r="I854" i="5"/>
  <c r="K853" i="5"/>
  <c r="J853" i="5"/>
  <c r="I853" i="5"/>
  <c r="K852" i="5"/>
  <c r="J852" i="5"/>
  <c r="I852" i="5"/>
  <c r="K851" i="5"/>
  <c r="J851" i="5"/>
  <c r="I851" i="5"/>
  <c r="K850" i="5"/>
  <c r="J850" i="5"/>
  <c r="I850" i="5"/>
  <c r="K849" i="5"/>
  <c r="J849" i="5"/>
  <c r="I849" i="5"/>
  <c r="K848" i="5"/>
  <c r="J848" i="5"/>
  <c r="I848" i="5"/>
  <c r="K847" i="5"/>
  <c r="J847" i="5"/>
  <c r="I847" i="5"/>
  <c r="K846" i="5"/>
  <c r="J846" i="5"/>
  <c r="I846" i="5"/>
  <c r="K845" i="5"/>
  <c r="J845" i="5"/>
  <c r="I845" i="5"/>
  <c r="K844" i="5"/>
  <c r="J844" i="5"/>
  <c r="I844" i="5"/>
  <c r="K843" i="5"/>
  <c r="J843" i="5"/>
  <c r="I843" i="5"/>
  <c r="K842" i="5"/>
  <c r="J842" i="5"/>
  <c r="I842" i="5"/>
  <c r="K841" i="5"/>
  <c r="J841" i="5"/>
  <c r="I841" i="5"/>
  <c r="K840" i="5"/>
  <c r="J840" i="5"/>
  <c r="I840" i="5"/>
  <c r="K839" i="5"/>
  <c r="J839" i="5"/>
  <c r="I839" i="5"/>
  <c r="K838" i="5"/>
  <c r="J838" i="5"/>
  <c r="I838" i="5"/>
  <c r="K837" i="5"/>
  <c r="J837" i="5"/>
  <c r="I837" i="5"/>
  <c r="K836" i="5"/>
  <c r="J836" i="5"/>
  <c r="I836" i="5"/>
  <c r="K835" i="5"/>
  <c r="J835" i="5"/>
  <c r="I835" i="5"/>
  <c r="K834" i="5"/>
  <c r="J834" i="5"/>
  <c r="I834" i="5"/>
  <c r="K833" i="5"/>
  <c r="J833" i="5"/>
  <c r="I833" i="5"/>
  <c r="K832" i="5"/>
  <c r="J832" i="5"/>
  <c r="I832" i="5"/>
  <c r="K831" i="5"/>
  <c r="J831" i="5"/>
  <c r="I831" i="5"/>
  <c r="K830" i="5"/>
  <c r="J830" i="5"/>
  <c r="I830" i="5"/>
  <c r="K829" i="5"/>
  <c r="J829" i="5"/>
  <c r="I829" i="5"/>
  <c r="K828" i="5"/>
  <c r="J828" i="5"/>
  <c r="I828" i="5"/>
  <c r="K827" i="5"/>
  <c r="J827" i="5"/>
  <c r="I827" i="5"/>
  <c r="K826" i="5"/>
  <c r="J826" i="5"/>
  <c r="I826" i="5"/>
  <c r="K825" i="5"/>
  <c r="J825" i="5"/>
  <c r="I825" i="5"/>
  <c r="K824" i="5"/>
  <c r="J824" i="5"/>
  <c r="I824" i="5"/>
  <c r="K823" i="5"/>
  <c r="J823" i="5"/>
  <c r="I823" i="5"/>
  <c r="K822" i="5"/>
  <c r="J822" i="5"/>
  <c r="I822" i="5"/>
  <c r="K821" i="5"/>
  <c r="J821" i="5"/>
  <c r="I821" i="5"/>
  <c r="K820" i="5"/>
  <c r="J820" i="5"/>
  <c r="I820" i="5"/>
  <c r="K819" i="5"/>
  <c r="J819" i="5"/>
  <c r="I819" i="5"/>
  <c r="K818" i="5"/>
  <c r="J818" i="5"/>
  <c r="I818" i="5"/>
  <c r="K817" i="5"/>
  <c r="J817" i="5"/>
  <c r="I817" i="5"/>
  <c r="K816" i="5"/>
  <c r="J816" i="5"/>
  <c r="I816" i="5"/>
  <c r="K815" i="5"/>
  <c r="J815" i="5"/>
  <c r="I815" i="5"/>
  <c r="K814" i="5"/>
  <c r="J814" i="5"/>
  <c r="I814" i="5"/>
  <c r="K813" i="5"/>
  <c r="J813" i="5"/>
  <c r="I813" i="5"/>
  <c r="K812" i="5"/>
  <c r="J812" i="5"/>
  <c r="I812" i="5"/>
  <c r="K811" i="5"/>
  <c r="J811" i="5"/>
  <c r="I811" i="5"/>
  <c r="K810" i="5"/>
  <c r="J810" i="5"/>
  <c r="I810" i="5"/>
  <c r="K809" i="5"/>
  <c r="J809" i="5"/>
  <c r="I809" i="5"/>
  <c r="K808" i="5"/>
  <c r="J808" i="5"/>
  <c r="I808" i="5"/>
  <c r="K807" i="5"/>
  <c r="J807" i="5"/>
  <c r="I807" i="5"/>
  <c r="K806" i="5"/>
  <c r="J806" i="5"/>
  <c r="I806" i="5"/>
  <c r="K805" i="5"/>
  <c r="J805" i="5"/>
  <c r="I805" i="5"/>
  <c r="K804" i="5"/>
  <c r="J804" i="5"/>
  <c r="I804" i="5"/>
  <c r="K803" i="5"/>
  <c r="J803" i="5"/>
  <c r="I803" i="5"/>
  <c r="K802" i="5"/>
  <c r="J802" i="5"/>
  <c r="I802" i="5"/>
  <c r="K801" i="5"/>
  <c r="J801" i="5"/>
  <c r="I801" i="5"/>
  <c r="K800" i="5"/>
  <c r="J800" i="5"/>
  <c r="I800" i="5"/>
  <c r="K799" i="5"/>
  <c r="J799" i="5"/>
  <c r="I799" i="5"/>
  <c r="K798" i="5"/>
  <c r="J798" i="5"/>
  <c r="I798" i="5"/>
  <c r="K797" i="5"/>
  <c r="J797" i="5"/>
  <c r="I797" i="5"/>
  <c r="K796" i="5"/>
  <c r="J796" i="5"/>
  <c r="I796" i="5"/>
  <c r="K795" i="5"/>
  <c r="J795" i="5"/>
  <c r="I795" i="5"/>
  <c r="K794" i="5"/>
  <c r="J794" i="5"/>
  <c r="I794" i="5"/>
  <c r="K793" i="5"/>
  <c r="J793" i="5"/>
  <c r="I793" i="5"/>
  <c r="K792" i="5"/>
  <c r="J792" i="5"/>
  <c r="I792" i="5"/>
  <c r="K791" i="5"/>
  <c r="J791" i="5"/>
  <c r="I791" i="5"/>
  <c r="K790" i="5"/>
  <c r="J790" i="5"/>
  <c r="I790" i="5"/>
  <c r="K789" i="5"/>
  <c r="J789" i="5"/>
  <c r="I789" i="5"/>
  <c r="K788" i="5"/>
  <c r="J788" i="5"/>
  <c r="I788" i="5"/>
  <c r="K787" i="5"/>
  <c r="J787" i="5"/>
  <c r="I787" i="5"/>
  <c r="K786" i="5"/>
  <c r="J786" i="5"/>
  <c r="I786" i="5"/>
  <c r="K785" i="5"/>
  <c r="J785" i="5"/>
  <c r="I785" i="5"/>
  <c r="K784" i="5"/>
  <c r="J784" i="5"/>
  <c r="I784" i="5"/>
  <c r="K783" i="5"/>
  <c r="J783" i="5"/>
  <c r="I783" i="5"/>
  <c r="K782" i="5"/>
  <c r="J782" i="5"/>
  <c r="I782" i="5"/>
  <c r="K781" i="5"/>
  <c r="J781" i="5"/>
  <c r="I781" i="5"/>
  <c r="K780" i="5"/>
  <c r="J780" i="5"/>
  <c r="I780" i="5"/>
  <c r="K779" i="5"/>
  <c r="J779" i="5"/>
  <c r="I779" i="5"/>
  <c r="K778" i="5"/>
  <c r="J778" i="5"/>
  <c r="I778" i="5"/>
  <c r="K777" i="5"/>
  <c r="J777" i="5"/>
  <c r="I777" i="5"/>
  <c r="K776" i="5"/>
  <c r="J776" i="5"/>
  <c r="I776" i="5"/>
  <c r="K775" i="5"/>
  <c r="J775" i="5"/>
  <c r="I775" i="5"/>
  <c r="K774" i="5"/>
  <c r="J774" i="5"/>
  <c r="I774" i="5"/>
  <c r="K773" i="5"/>
  <c r="J773" i="5"/>
  <c r="I773" i="5"/>
  <c r="K772" i="5"/>
  <c r="J772" i="5"/>
  <c r="I772" i="5"/>
  <c r="K771" i="5"/>
  <c r="J771" i="5"/>
  <c r="I771" i="5"/>
  <c r="K770" i="5"/>
  <c r="J770" i="5"/>
  <c r="I770" i="5"/>
  <c r="K769" i="5"/>
  <c r="J769" i="5"/>
  <c r="I769" i="5"/>
  <c r="K768" i="5"/>
  <c r="J768" i="5"/>
  <c r="I768" i="5"/>
  <c r="K767" i="5"/>
  <c r="J767" i="5"/>
  <c r="I767" i="5"/>
  <c r="K766" i="5"/>
  <c r="J766" i="5"/>
  <c r="I766" i="5"/>
  <c r="K765" i="5"/>
  <c r="J765" i="5"/>
  <c r="I765" i="5"/>
  <c r="K764" i="5"/>
  <c r="J764" i="5"/>
  <c r="I764" i="5"/>
  <c r="K763" i="5"/>
  <c r="J763" i="5"/>
  <c r="I763" i="5"/>
  <c r="K762" i="5"/>
  <c r="J762" i="5"/>
  <c r="I762" i="5"/>
  <c r="K761" i="5"/>
  <c r="J761" i="5"/>
  <c r="I761" i="5"/>
  <c r="K760" i="5"/>
  <c r="J760" i="5"/>
  <c r="I760" i="5"/>
  <c r="K759" i="5"/>
  <c r="J759" i="5"/>
  <c r="I759" i="5"/>
  <c r="K758" i="5"/>
  <c r="J758" i="5"/>
  <c r="I758" i="5"/>
  <c r="K757" i="5"/>
  <c r="J757" i="5"/>
  <c r="I757" i="5"/>
  <c r="K756" i="5"/>
  <c r="J756" i="5"/>
  <c r="I756" i="5"/>
  <c r="K755" i="5"/>
  <c r="J755" i="5"/>
  <c r="I755" i="5"/>
  <c r="K754" i="5"/>
  <c r="J754" i="5"/>
  <c r="I754" i="5"/>
  <c r="K753" i="5"/>
  <c r="J753" i="5"/>
  <c r="I753" i="5"/>
  <c r="K752" i="5"/>
  <c r="J752" i="5"/>
  <c r="I752" i="5"/>
  <c r="K751" i="5"/>
  <c r="J751" i="5"/>
  <c r="I751" i="5"/>
  <c r="K750" i="5"/>
  <c r="J750" i="5"/>
  <c r="I750" i="5"/>
  <c r="K749" i="5"/>
  <c r="J749" i="5"/>
  <c r="I749" i="5"/>
  <c r="K748" i="5"/>
  <c r="J748" i="5"/>
  <c r="I748" i="5"/>
  <c r="K747" i="5"/>
  <c r="J747" i="5"/>
  <c r="I747" i="5"/>
  <c r="K746" i="5"/>
  <c r="J746" i="5"/>
  <c r="I746" i="5"/>
  <c r="K745" i="5"/>
  <c r="J745" i="5"/>
  <c r="I745" i="5"/>
  <c r="K744" i="5"/>
  <c r="J744" i="5"/>
  <c r="I744" i="5"/>
  <c r="K743" i="5"/>
  <c r="J743" i="5"/>
  <c r="I743" i="5"/>
  <c r="K742" i="5"/>
  <c r="J742" i="5"/>
  <c r="I742" i="5"/>
  <c r="K741" i="5"/>
  <c r="J741" i="5"/>
  <c r="I741" i="5"/>
  <c r="K740" i="5"/>
  <c r="J740" i="5"/>
  <c r="I740" i="5"/>
  <c r="K739" i="5"/>
  <c r="J739" i="5"/>
  <c r="I739" i="5"/>
  <c r="K738" i="5"/>
  <c r="J738" i="5"/>
  <c r="I738" i="5"/>
  <c r="K737" i="5"/>
  <c r="J737" i="5"/>
  <c r="I737" i="5"/>
  <c r="K736" i="5"/>
  <c r="J736" i="5"/>
  <c r="I736" i="5"/>
  <c r="K735" i="5"/>
  <c r="J735" i="5"/>
  <c r="I735" i="5"/>
  <c r="K734" i="5"/>
  <c r="J734" i="5"/>
  <c r="I734" i="5"/>
  <c r="K733" i="5"/>
  <c r="J733" i="5"/>
  <c r="I733" i="5"/>
  <c r="K732" i="5"/>
  <c r="J732" i="5"/>
  <c r="I732" i="5"/>
  <c r="K731" i="5"/>
  <c r="J731" i="5"/>
  <c r="I731" i="5"/>
  <c r="K730" i="5"/>
  <c r="J730" i="5"/>
  <c r="I730" i="5"/>
  <c r="K729" i="5"/>
  <c r="J729" i="5"/>
  <c r="I729" i="5"/>
  <c r="K728" i="5"/>
  <c r="J728" i="5"/>
  <c r="I728" i="5"/>
  <c r="K727" i="5"/>
  <c r="J727" i="5"/>
  <c r="I727" i="5"/>
  <c r="K726" i="5"/>
  <c r="J726" i="5"/>
  <c r="I726" i="5"/>
  <c r="K725" i="5"/>
  <c r="J725" i="5"/>
  <c r="I725" i="5"/>
  <c r="K724" i="5"/>
  <c r="J724" i="5"/>
  <c r="I724" i="5"/>
  <c r="K723" i="5"/>
  <c r="J723" i="5"/>
  <c r="I723" i="5"/>
  <c r="K722" i="5"/>
  <c r="J722" i="5"/>
  <c r="I722" i="5"/>
  <c r="K721" i="5"/>
  <c r="J721" i="5"/>
  <c r="I721" i="5"/>
  <c r="K720" i="5"/>
  <c r="J720" i="5"/>
  <c r="I720" i="5"/>
  <c r="K719" i="5"/>
  <c r="J719" i="5"/>
  <c r="I719" i="5"/>
  <c r="K718" i="5"/>
  <c r="J718" i="5"/>
  <c r="I718" i="5"/>
  <c r="K717" i="5"/>
  <c r="J717" i="5"/>
  <c r="I717" i="5"/>
  <c r="K716" i="5"/>
  <c r="J716" i="5"/>
  <c r="I716" i="5"/>
  <c r="K715" i="5"/>
  <c r="J715" i="5"/>
  <c r="I715" i="5"/>
  <c r="K714" i="5"/>
  <c r="J714" i="5"/>
  <c r="I714" i="5"/>
  <c r="K713" i="5"/>
  <c r="J713" i="5"/>
  <c r="I713" i="5"/>
  <c r="K712" i="5"/>
  <c r="J712" i="5"/>
  <c r="I712" i="5"/>
  <c r="K711" i="5"/>
  <c r="J711" i="5"/>
  <c r="I711" i="5"/>
  <c r="K710" i="5"/>
  <c r="J710" i="5"/>
  <c r="I710" i="5"/>
  <c r="K709" i="5"/>
  <c r="J709" i="5"/>
  <c r="I709" i="5"/>
  <c r="K708" i="5"/>
  <c r="J708" i="5"/>
  <c r="I708" i="5"/>
  <c r="K707" i="5"/>
  <c r="J707" i="5"/>
  <c r="I707" i="5"/>
  <c r="K706" i="5"/>
  <c r="J706" i="5"/>
  <c r="I706" i="5"/>
  <c r="K705" i="5"/>
  <c r="J705" i="5"/>
  <c r="I705" i="5"/>
  <c r="K704" i="5"/>
  <c r="J704" i="5"/>
  <c r="I704" i="5"/>
  <c r="K703" i="5"/>
  <c r="J703" i="5"/>
  <c r="I703" i="5"/>
  <c r="K702" i="5"/>
  <c r="J702" i="5"/>
  <c r="I702" i="5"/>
  <c r="K701" i="5"/>
  <c r="J701" i="5"/>
  <c r="I701" i="5"/>
  <c r="K700" i="5"/>
  <c r="J700" i="5"/>
  <c r="I700" i="5"/>
  <c r="K699" i="5"/>
  <c r="J699" i="5"/>
  <c r="I699" i="5"/>
  <c r="K698" i="5"/>
  <c r="J698" i="5"/>
  <c r="I698" i="5"/>
  <c r="K697" i="5"/>
  <c r="J697" i="5"/>
  <c r="I697" i="5"/>
  <c r="K696" i="5"/>
  <c r="J696" i="5"/>
  <c r="I696" i="5"/>
  <c r="K695" i="5"/>
  <c r="J695" i="5"/>
  <c r="I695" i="5"/>
  <c r="K694" i="5"/>
  <c r="J694" i="5"/>
  <c r="I694" i="5"/>
  <c r="K693" i="5"/>
  <c r="J693" i="5"/>
  <c r="I693" i="5"/>
  <c r="K692" i="5"/>
  <c r="J692" i="5"/>
  <c r="I692" i="5"/>
  <c r="K691" i="5"/>
  <c r="J691" i="5"/>
  <c r="I691" i="5"/>
  <c r="K690" i="5"/>
  <c r="J690" i="5"/>
  <c r="I690" i="5"/>
  <c r="K689" i="5"/>
  <c r="J689" i="5"/>
  <c r="I689" i="5"/>
  <c r="K688" i="5"/>
  <c r="J688" i="5"/>
  <c r="I688" i="5"/>
  <c r="K687" i="5"/>
  <c r="J687" i="5"/>
  <c r="I687" i="5"/>
  <c r="K686" i="5"/>
  <c r="J686" i="5"/>
  <c r="I686" i="5"/>
  <c r="K685" i="5"/>
  <c r="J685" i="5"/>
  <c r="I685" i="5"/>
  <c r="K684" i="5"/>
  <c r="J684" i="5"/>
  <c r="I684" i="5"/>
  <c r="K683" i="5"/>
  <c r="J683" i="5"/>
  <c r="I683" i="5"/>
  <c r="K682" i="5"/>
  <c r="J682" i="5"/>
  <c r="I682" i="5"/>
  <c r="K681" i="5"/>
  <c r="J681" i="5"/>
  <c r="I681" i="5"/>
  <c r="K680" i="5"/>
  <c r="J680" i="5"/>
  <c r="I680" i="5"/>
  <c r="K679" i="5"/>
  <c r="J679" i="5"/>
  <c r="I679" i="5"/>
  <c r="K678" i="5"/>
  <c r="J678" i="5"/>
  <c r="I678" i="5"/>
  <c r="K677" i="5"/>
  <c r="J677" i="5"/>
  <c r="I677" i="5"/>
  <c r="K676" i="5"/>
  <c r="J676" i="5"/>
  <c r="I676" i="5"/>
  <c r="K675" i="5"/>
  <c r="J675" i="5"/>
  <c r="I675" i="5"/>
  <c r="K674" i="5"/>
  <c r="J674" i="5"/>
  <c r="I674" i="5"/>
  <c r="K673" i="5"/>
  <c r="J673" i="5"/>
  <c r="I673" i="5"/>
  <c r="K672" i="5"/>
  <c r="J672" i="5"/>
  <c r="I672" i="5"/>
  <c r="K671" i="5"/>
  <c r="J671" i="5"/>
  <c r="I671" i="5"/>
  <c r="K670" i="5"/>
  <c r="J670" i="5"/>
  <c r="I670" i="5"/>
  <c r="K669" i="5"/>
  <c r="J669" i="5"/>
  <c r="I669" i="5"/>
  <c r="K668" i="5"/>
  <c r="J668" i="5"/>
  <c r="I668" i="5"/>
  <c r="K667" i="5"/>
  <c r="J667" i="5"/>
  <c r="I667" i="5"/>
  <c r="K666" i="5"/>
  <c r="J666" i="5"/>
  <c r="I666" i="5"/>
  <c r="K665" i="5"/>
  <c r="J665" i="5"/>
  <c r="I665" i="5"/>
  <c r="K664" i="5"/>
  <c r="J664" i="5"/>
  <c r="I664" i="5"/>
  <c r="K663" i="5"/>
  <c r="J663" i="5"/>
  <c r="I663" i="5"/>
  <c r="K662" i="5"/>
  <c r="J662" i="5"/>
  <c r="I662" i="5"/>
  <c r="K661" i="5"/>
  <c r="J661" i="5"/>
  <c r="I661" i="5"/>
  <c r="K660" i="5"/>
  <c r="J660" i="5"/>
  <c r="I660" i="5"/>
  <c r="K659" i="5"/>
  <c r="J659" i="5"/>
  <c r="I659" i="5"/>
  <c r="K658" i="5"/>
  <c r="J658" i="5"/>
  <c r="I658" i="5"/>
  <c r="K657" i="5"/>
  <c r="J657" i="5"/>
  <c r="I657" i="5"/>
  <c r="K656" i="5"/>
  <c r="J656" i="5"/>
  <c r="I656" i="5"/>
  <c r="K655" i="5"/>
  <c r="J655" i="5"/>
  <c r="I655" i="5"/>
  <c r="K654" i="5"/>
  <c r="J654" i="5"/>
  <c r="I654" i="5"/>
  <c r="K653" i="5"/>
  <c r="J653" i="5"/>
  <c r="I653" i="5"/>
  <c r="K652" i="5"/>
  <c r="J652" i="5"/>
  <c r="I652" i="5"/>
  <c r="K651" i="5"/>
  <c r="J651" i="5"/>
  <c r="I651" i="5"/>
  <c r="K650" i="5"/>
  <c r="J650" i="5"/>
  <c r="I650" i="5"/>
  <c r="K649" i="5"/>
  <c r="J649" i="5"/>
  <c r="I649" i="5"/>
  <c r="K648" i="5"/>
  <c r="J648" i="5"/>
  <c r="I648" i="5"/>
  <c r="K647" i="5"/>
  <c r="J647" i="5"/>
  <c r="I647" i="5"/>
  <c r="K646" i="5"/>
  <c r="J646" i="5"/>
  <c r="I646" i="5"/>
  <c r="K645" i="5"/>
  <c r="J645" i="5"/>
  <c r="I645" i="5"/>
  <c r="K644" i="5"/>
  <c r="J644" i="5"/>
  <c r="I644" i="5"/>
  <c r="K643" i="5"/>
  <c r="J643" i="5"/>
  <c r="I643" i="5"/>
  <c r="K642" i="5"/>
  <c r="J642" i="5"/>
  <c r="I642" i="5"/>
  <c r="K641" i="5"/>
  <c r="J641" i="5"/>
  <c r="I641" i="5"/>
  <c r="K640" i="5"/>
  <c r="J640" i="5"/>
  <c r="I640" i="5"/>
  <c r="K639" i="5"/>
  <c r="J639" i="5"/>
  <c r="I639" i="5"/>
  <c r="K638" i="5"/>
  <c r="J638" i="5"/>
  <c r="I638" i="5"/>
  <c r="K637" i="5"/>
  <c r="J637" i="5"/>
  <c r="I637" i="5"/>
  <c r="K636" i="5"/>
  <c r="J636" i="5"/>
  <c r="I636" i="5"/>
  <c r="K635" i="5"/>
  <c r="J635" i="5"/>
  <c r="I635" i="5"/>
  <c r="K634" i="5"/>
  <c r="J634" i="5"/>
  <c r="I634" i="5"/>
  <c r="K633" i="5"/>
  <c r="J633" i="5"/>
  <c r="I633" i="5"/>
  <c r="K632" i="5"/>
  <c r="J632" i="5"/>
  <c r="I632" i="5"/>
  <c r="K631" i="5"/>
  <c r="J631" i="5"/>
  <c r="I631" i="5"/>
  <c r="K630" i="5"/>
  <c r="J630" i="5"/>
  <c r="I630" i="5"/>
  <c r="K629" i="5"/>
  <c r="J629" i="5"/>
  <c r="I629" i="5"/>
  <c r="K628" i="5"/>
  <c r="J628" i="5"/>
  <c r="I628" i="5"/>
  <c r="K627" i="5"/>
  <c r="J627" i="5"/>
  <c r="I627" i="5"/>
  <c r="K626" i="5"/>
  <c r="J626" i="5"/>
  <c r="I626" i="5"/>
  <c r="K625" i="5"/>
  <c r="J625" i="5"/>
  <c r="I625" i="5"/>
  <c r="K624" i="5"/>
  <c r="J624" i="5"/>
  <c r="I624" i="5"/>
  <c r="K623" i="5"/>
  <c r="J623" i="5"/>
  <c r="I623" i="5"/>
  <c r="K622" i="5"/>
  <c r="J622" i="5"/>
  <c r="I622" i="5"/>
  <c r="K621" i="5"/>
  <c r="J621" i="5"/>
  <c r="I621" i="5"/>
  <c r="K620" i="5"/>
  <c r="J620" i="5"/>
  <c r="I620" i="5"/>
  <c r="K619" i="5"/>
  <c r="J619" i="5"/>
  <c r="I619" i="5"/>
  <c r="K618" i="5"/>
  <c r="J618" i="5"/>
  <c r="I618" i="5"/>
  <c r="K617" i="5"/>
  <c r="J617" i="5"/>
  <c r="I617" i="5"/>
  <c r="K616" i="5"/>
  <c r="J616" i="5"/>
  <c r="I616" i="5"/>
  <c r="K615" i="5"/>
  <c r="J615" i="5"/>
  <c r="I615" i="5"/>
  <c r="K614" i="5"/>
  <c r="J614" i="5"/>
  <c r="I614" i="5"/>
  <c r="K613" i="5"/>
  <c r="J613" i="5"/>
  <c r="I613" i="5"/>
  <c r="K612" i="5"/>
  <c r="J612" i="5"/>
  <c r="I612" i="5"/>
  <c r="K611" i="5"/>
  <c r="J611" i="5"/>
  <c r="I611" i="5"/>
  <c r="K610" i="5"/>
  <c r="J610" i="5"/>
  <c r="I610" i="5"/>
  <c r="K609" i="5"/>
  <c r="J609" i="5"/>
  <c r="I609" i="5"/>
  <c r="K608" i="5"/>
  <c r="J608" i="5"/>
  <c r="I608" i="5"/>
  <c r="K607" i="5"/>
  <c r="J607" i="5"/>
  <c r="I607" i="5"/>
  <c r="K606" i="5"/>
  <c r="J606" i="5"/>
  <c r="I606" i="5"/>
  <c r="K605" i="5"/>
  <c r="J605" i="5"/>
  <c r="I605" i="5"/>
  <c r="K604" i="5"/>
  <c r="J604" i="5"/>
  <c r="I604" i="5"/>
  <c r="K603" i="5"/>
  <c r="J603" i="5"/>
  <c r="I603" i="5"/>
  <c r="K602" i="5"/>
  <c r="J602" i="5"/>
  <c r="I602" i="5"/>
  <c r="K601" i="5"/>
  <c r="J601" i="5"/>
  <c r="I601" i="5"/>
  <c r="K600" i="5"/>
  <c r="J600" i="5"/>
  <c r="I600" i="5"/>
  <c r="K599" i="5"/>
  <c r="J599" i="5"/>
  <c r="I599" i="5"/>
  <c r="K598" i="5"/>
  <c r="J598" i="5"/>
  <c r="I598" i="5"/>
  <c r="K597" i="5"/>
  <c r="J597" i="5"/>
  <c r="I597" i="5"/>
  <c r="K596" i="5"/>
  <c r="J596" i="5"/>
  <c r="I596" i="5"/>
  <c r="K595" i="5"/>
  <c r="J595" i="5"/>
  <c r="I595" i="5"/>
  <c r="K594" i="5"/>
  <c r="J594" i="5"/>
  <c r="I594" i="5"/>
  <c r="K593" i="5"/>
  <c r="J593" i="5"/>
  <c r="I593" i="5"/>
  <c r="K592" i="5"/>
  <c r="J592" i="5"/>
  <c r="I592" i="5"/>
  <c r="K591" i="5"/>
  <c r="J591" i="5"/>
  <c r="I591" i="5"/>
  <c r="K590" i="5"/>
  <c r="J590" i="5"/>
  <c r="I590" i="5"/>
  <c r="K589" i="5"/>
  <c r="J589" i="5"/>
  <c r="I589" i="5"/>
  <c r="K588" i="5"/>
  <c r="J588" i="5"/>
  <c r="I588" i="5"/>
  <c r="K587" i="5"/>
  <c r="J587" i="5"/>
  <c r="I587" i="5"/>
  <c r="K586" i="5"/>
  <c r="J586" i="5"/>
  <c r="I586" i="5"/>
  <c r="K585" i="5"/>
  <c r="J585" i="5"/>
  <c r="I585" i="5"/>
  <c r="K584" i="5"/>
  <c r="J584" i="5"/>
  <c r="I584" i="5"/>
  <c r="K583" i="5"/>
  <c r="J583" i="5"/>
  <c r="I583" i="5"/>
  <c r="K582" i="5"/>
  <c r="J582" i="5"/>
  <c r="I582" i="5"/>
  <c r="K581" i="5"/>
  <c r="J581" i="5"/>
  <c r="I581" i="5"/>
  <c r="K580" i="5"/>
  <c r="J580" i="5"/>
  <c r="I580" i="5"/>
  <c r="K579" i="5"/>
  <c r="J579" i="5"/>
  <c r="I579" i="5"/>
  <c r="K578" i="5"/>
  <c r="J578" i="5"/>
  <c r="I578" i="5"/>
  <c r="K577" i="5"/>
  <c r="J577" i="5"/>
  <c r="I577" i="5"/>
  <c r="K576" i="5"/>
  <c r="J576" i="5"/>
  <c r="I576" i="5"/>
  <c r="K575" i="5"/>
  <c r="J575" i="5"/>
  <c r="I575" i="5"/>
  <c r="K574" i="5"/>
  <c r="J574" i="5"/>
  <c r="I574" i="5"/>
  <c r="K573" i="5"/>
  <c r="J573" i="5"/>
  <c r="I573" i="5"/>
  <c r="K572" i="5"/>
  <c r="J572" i="5"/>
  <c r="I572" i="5"/>
  <c r="K571" i="5"/>
  <c r="J571" i="5"/>
  <c r="I571" i="5"/>
  <c r="K570" i="5"/>
  <c r="J570" i="5"/>
  <c r="I570" i="5"/>
  <c r="K569" i="5"/>
  <c r="J569" i="5"/>
  <c r="I569" i="5"/>
  <c r="K568" i="5"/>
  <c r="J568" i="5"/>
  <c r="I568" i="5"/>
  <c r="K567" i="5"/>
  <c r="J567" i="5"/>
  <c r="I567" i="5"/>
  <c r="K566" i="5"/>
  <c r="J566" i="5"/>
  <c r="I566" i="5"/>
  <c r="K565" i="5"/>
  <c r="J565" i="5"/>
  <c r="I565" i="5"/>
  <c r="K564" i="5"/>
  <c r="J564" i="5"/>
  <c r="I564" i="5"/>
  <c r="K563" i="5"/>
  <c r="J563" i="5"/>
  <c r="I563" i="5"/>
  <c r="K562" i="5"/>
  <c r="J562" i="5"/>
  <c r="I562" i="5"/>
  <c r="K561" i="5"/>
  <c r="J561" i="5"/>
  <c r="I561" i="5"/>
  <c r="K560" i="5"/>
  <c r="J560" i="5"/>
  <c r="I560" i="5"/>
  <c r="K559" i="5"/>
  <c r="J559" i="5"/>
  <c r="I559" i="5"/>
  <c r="K558" i="5"/>
  <c r="J558" i="5"/>
  <c r="I558" i="5"/>
  <c r="K557" i="5"/>
  <c r="J557" i="5"/>
  <c r="I557" i="5"/>
  <c r="K556" i="5"/>
  <c r="J556" i="5"/>
  <c r="I556" i="5"/>
  <c r="K555" i="5"/>
  <c r="J555" i="5"/>
  <c r="I555" i="5"/>
  <c r="K554" i="5"/>
  <c r="J554" i="5"/>
  <c r="I554" i="5"/>
  <c r="K553" i="5"/>
  <c r="J553" i="5"/>
  <c r="I553" i="5"/>
  <c r="K552" i="5"/>
  <c r="J552" i="5"/>
  <c r="I552" i="5"/>
  <c r="K551" i="5"/>
  <c r="J551" i="5"/>
  <c r="I551" i="5"/>
  <c r="K550" i="5"/>
  <c r="J550" i="5"/>
  <c r="I550" i="5"/>
  <c r="K549" i="5"/>
  <c r="J549" i="5"/>
  <c r="I549" i="5"/>
  <c r="K548" i="5"/>
  <c r="J548" i="5"/>
  <c r="I548" i="5"/>
  <c r="K547" i="5"/>
  <c r="J547" i="5"/>
  <c r="I547" i="5"/>
  <c r="K546" i="5"/>
  <c r="J546" i="5"/>
  <c r="I546" i="5"/>
  <c r="K545" i="5"/>
  <c r="J545" i="5"/>
  <c r="I545" i="5"/>
  <c r="K544" i="5"/>
  <c r="J544" i="5"/>
  <c r="I544" i="5"/>
  <c r="K543" i="5"/>
  <c r="J543" i="5"/>
  <c r="I543" i="5"/>
  <c r="K542" i="5"/>
  <c r="J542" i="5"/>
  <c r="I542" i="5"/>
  <c r="K541" i="5"/>
  <c r="J541" i="5"/>
  <c r="I541" i="5"/>
  <c r="K540" i="5"/>
  <c r="J540" i="5"/>
  <c r="I540" i="5"/>
  <c r="K539" i="5"/>
  <c r="J539" i="5"/>
  <c r="I539" i="5"/>
  <c r="K538" i="5"/>
  <c r="J538" i="5"/>
  <c r="I538" i="5"/>
  <c r="K537" i="5"/>
  <c r="J537" i="5"/>
  <c r="I537" i="5"/>
  <c r="K536" i="5"/>
  <c r="J536" i="5"/>
  <c r="I536" i="5"/>
  <c r="K535" i="5"/>
  <c r="J535" i="5"/>
  <c r="I535" i="5"/>
  <c r="K534" i="5"/>
  <c r="J534" i="5"/>
  <c r="I534" i="5"/>
  <c r="K533" i="5"/>
  <c r="J533" i="5"/>
  <c r="I533" i="5"/>
  <c r="K532" i="5"/>
  <c r="J532" i="5"/>
  <c r="I532" i="5"/>
  <c r="K531" i="5"/>
  <c r="J531" i="5"/>
  <c r="I531" i="5"/>
  <c r="K530" i="5"/>
  <c r="J530" i="5"/>
  <c r="I530" i="5"/>
  <c r="K529" i="5"/>
  <c r="J529" i="5"/>
  <c r="I529" i="5"/>
  <c r="K528" i="5"/>
  <c r="J528" i="5"/>
  <c r="I528" i="5"/>
  <c r="K527" i="5"/>
  <c r="J527" i="5"/>
  <c r="I527" i="5"/>
  <c r="K526" i="5"/>
  <c r="J526" i="5"/>
  <c r="I526" i="5"/>
  <c r="K525" i="5"/>
  <c r="J525" i="5"/>
  <c r="I525" i="5"/>
  <c r="K524" i="5"/>
  <c r="J524" i="5"/>
  <c r="I524" i="5"/>
  <c r="K523" i="5"/>
  <c r="J523" i="5"/>
  <c r="I523" i="5"/>
  <c r="K522" i="5"/>
  <c r="J522" i="5"/>
  <c r="I522" i="5"/>
  <c r="K521" i="5"/>
  <c r="J521" i="5"/>
  <c r="I521" i="5"/>
  <c r="K520" i="5"/>
  <c r="J520" i="5"/>
  <c r="I520" i="5"/>
  <c r="K519" i="5"/>
  <c r="J519" i="5"/>
  <c r="I519" i="5"/>
  <c r="K518" i="5"/>
  <c r="J518" i="5"/>
  <c r="I518" i="5"/>
  <c r="K517" i="5"/>
  <c r="J517" i="5"/>
  <c r="I517" i="5"/>
  <c r="K516" i="5"/>
  <c r="J516" i="5"/>
  <c r="I516" i="5"/>
  <c r="K515" i="5"/>
  <c r="J515" i="5"/>
  <c r="I515" i="5"/>
  <c r="K514" i="5"/>
  <c r="J514" i="5"/>
  <c r="I514" i="5"/>
  <c r="K513" i="5"/>
  <c r="J513" i="5"/>
  <c r="I513" i="5"/>
  <c r="K512" i="5"/>
  <c r="J512" i="5"/>
  <c r="I512" i="5"/>
  <c r="K511" i="5"/>
  <c r="J511" i="5"/>
  <c r="I511" i="5"/>
  <c r="K510" i="5"/>
  <c r="J510" i="5"/>
  <c r="I510" i="5"/>
  <c r="K509" i="5"/>
  <c r="J509" i="5"/>
  <c r="I509" i="5"/>
  <c r="K508" i="5"/>
  <c r="J508" i="5"/>
  <c r="I508" i="5"/>
  <c r="K507" i="5"/>
  <c r="J507" i="5"/>
  <c r="I507" i="5"/>
  <c r="K506" i="5"/>
  <c r="J506" i="5"/>
  <c r="I506" i="5"/>
  <c r="K505" i="5"/>
  <c r="J505" i="5"/>
  <c r="I505" i="5"/>
  <c r="K504" i="5"/>
  <c r="J504" i="5"/>
  <c r="I504" i="5"/>
  <c r="K503" i="5"/>
  <c r="J503" i="5"/>
  <c r="I503" i="5"/>
  <c r="K502" i="5"/>
  <c r="J502" i="5"/>
  <c r="I502" i="5"/>
  <c r="K501" i="5"/>
  <c r="J501" i="5"/>
  <c r="I501" i="5"/>
  <c r="K500" i="5"/>
  <c r="J500" i="5"/>
  <c r="I500" i="5"/>
  <c r="K499" i="5"/>
  <c r="J499" i="5"/>
  <c r="I499" i="5"/>
  <c r="K498" i="5"/>
  <c r="J498" i="5"/>
  <c r="I498" i="5"/>
  <c r="K497" i="5"/>
  <c r="J497" i="5"/>
  <c r="I497" i="5"/>
  <c r="K496" i="5"/>
  <c r="J496" i="5"/>
  <c r="I496" i="5"/>
  <c r="K495" i="5"/>
  <c r="J495" i="5"/>
  <c r="I495" i="5"/>
  <c r="K494" i="5"/>
  <c r="J494" i="5"/>
  <c r="I494" i="5"/>
  <c r="K493" i="5"/>
  <c r="J493" i="5"/>
  <c r="I493" i="5"/>
  <c r="K492" i="5"/>
  <c r="J492" i="5"/>
  <c r="I492" i="5"/>
  <c r="K491" i="5"/>
  <c r="J491" i="5"/>
  <c r="I491" i="5"/>
  <c r="K490" i="5"/>
  <c r="J490" i="5"/>
  <c r="I490" i="5"/>
  <c r="K489" i="5"/>
  <c r="J489" i="5"/>
  <c r="I489" i="5"/>
  <c r="K488" i="5"/>
  <c r="J488" i="5"/>
  <c r="I488" i="5"/>
  <c r="K487" i="5"/>
  <c r="J487" i="5"/>
  <c r="I487" i="5"/>
  <c r="K486" i="5"/>
  <c r="J486" i="5"/>
  <c r="I486" i="5"/>
  <c r="K485" i="5"/>
  <c r="J485" i="5"/>
  <c r="I485" i="5"/>
  <c r="K484" i="5"/>
  <c r="J484" i="5"/>
  <c r="I484" i="5"/>
  <c r="K483" i="5"/>
  <c r="J483" i="5"/>
  <c r="I483" i="5"/>
  <c r="K482" i="5"/>
  <c r="J482" i="5"/>
  <c r="I482" i="5"/>
  <c r="K481" i="5"/>
  <c r="J481" i="5"/>
  <c r="I481" i="5"/>
  <c r="K480" i="5"/>
  <c r="J480" i="5"/>
  <c r="I480" i="5"/>
  <c r="K479" i="5"/>
  <c r="J479" i="5"/>
  <c r="I479" i="5"/>
  <c r="K478" i="5"/>
  <c r="J478" i="5"/>
  <c r="I478" i="5"/>
  <c r="K477" i="5"/>
  <c r="J477" i="5"/>
  <c r="I477" i="5"/>
  <c r="K476" i="5"/>
  <c r="J476" i="5"/>
  <c r="I476" i="5"/>
  <c r="K475" i="5"/>
  <c r="J475" i="5"/>
  <c r="I475" i="5"/>
  <c r="K474" i="5"/>
  <c r="J474" i="5"/>
  <c r="I474" i="5"/>
  <c r="K473" i="5"/>
  <c r="J473" i="5"/>
  <c r="I473" i="5"/>
  <c r="K472" i="5"/>
  <c r="J472" i="5"/>
  <c r="I472" i="5"/>
  <c r="K471" i="5"/>
  <c r="J471" i="5"/>
  <c r="I471" i="5"/>
  <c r="K470" i="5"/>
  <c r="J470" i="5"/>
  <c r="I470" i="5"/>
  <c r="K469" i="5"/>
  <c r="J469" i="5"/>
  <c r="I469" i="5"/>
  <c r="K468" i="5"/>
  <c r="J468" i="5"/>
  <c r="I468" i="5"/>
  <c r="K467" i="5"/>
  <c r="J467" i="5"/>
  <c r="I467" i="5"/>
  <c r="K466" i="5"/>
  <c r="J466" i="5"/>
  <c r="I466" i="5"/>
  <c r="K465" i="5"/>
  <c r="J465" i="5"/>
  <c r="I465" i="5"/>
  <c r="K464" i="5"/>
  <c r="J464" i="5"/>
  <c r="I464" i="5"/>
  <c r="K463" i="5"/>
  <c r="J463" i="5"/>
  <c r="I463" i="5"/>
  <c r="K462" i="5"/>
  <c r="J462" i="5"/>
  <c r="I462" i="5"/>
  <c r="K461" i="5"/>
  <c r="J461" i="5"/>
  <c r="I461" i="5"/>
  <c r="K460" i="5"/>
  <c r="J460" i="5"/>
  <c r="I460" i="5"/>
  <c r="K459" i="5"/>
  <c r="J459" i="5"/>
  <c r="I459" i="5"/>
  <c r="K458" i="5"/>
  <c r="J458" i="5"/>
  <c r="I458" i="5"/>
  <c r="K457" i="5"/>
  <c r="J457" i="5"/>
  <c r="I457" i="5"/>
  <c r="K456" i="5"/>
  <c r="J456" i="5"/>
  <c r="I456" i="5"/>
  <c r="K455" i="5"/>
  <c r="J455" i="5"/>
  <c r="I455" i="5"/>
  <c r="K454" i="5"/>
  <c r="J454" i="5"/>
  <c r="I454" i="5"/>
  <c r="K453" i="5"/>
  <c r="J453" i="5"/>
  <c r="I453" i="5"/>
  <c r="K452" i="5"/>
  <c r="J452" i="5"/>
  <c r="I452" i="5"/>
  <c r="K451" i="5"/>
  <c r="J451" i="5"/>
  <c r="I451" i="5"/>
  <c r="K450" i="5"/>
  <c r="J450" i="5"/>
  <c r="I450" i="5"/>
  <c r="K449" i="5"/>
  <c r="J449" i="5"/>
  <c r="I449" i="5"/>
  <c r="K448" i="5"/>
  <c r="J448" i="5"/>
  <c r="I448" i="5"/>
  <c r="K447" i="5"/>
  <c r="J447" i="5"/>
  <c r="I447" i="5"/>
  <c r="K446" i="5"/>
  <c r="J446" i="5"/>
  <c r="I446" i="5"/>
  <c r="K445" i="5"/>
  <c r="J445" i="5"/>
  <c r="I445" i="5"/>
  <c r="K444" i="5"/>
  <c r="J444" i="5"/>
  <c r="I444" i="5"/>
  <c r="K443" i="5"/>
  <c r="J443" i="5"/>
  <c r="I443" i="5"/>
  <c r="K442" i="5"/>
  <c r="J442" i="5"/>
  <c r="I442" i="5"/>
  <c r="K441" i="5"/>
  <c r="J441" i="5"/>
  <c r="I441" i="5"/>
  <c r="K440" i="5"/>
  <c r="J440" i="5"/>
  <c r="I440" i="5"/>
  <c r="K439" i="5"/>
  <c r="J439" i="5"/>
  <c r="I439" i="5"/>
  <c r="K438" i="5"/>
  <c r="J438" i="5"/>
  <c r="I438" i="5"/>
  <c r="K437" i="5"/>
  <c r="J437" i="5"/>
  <c r="I437" i="5"/>
  <c r="K436" i="5"/>
  <c r="J436" i="5"/>
  <c r="I436" i="5"/>
  <c r="K435" i="5"/>
  <c r="J435" i="5"/>
  <c r="I435" i="5"/>
  <c r="K434" i="5"/>
  <c r="J434" i="5"/>
  <c r="I434" i="5"/>
  <c r="K433" i="5"/>
  <c r="J433" i="5"/>
  <c r="I433" i="5"/>
  <c r="K432" i="5"/>
  <c r="J432" i="5"/>
  <c r="I432" i="5"/>
  <c r="K431" i="5"/>
  <c r="J431" i="5"/>
  <c r="I431" i="5"/>
  <c r="K430" i="5"/>
  <c r="J430" i="5"/>
  <c r="I430" i="5"/>
  <c r="K429" i="5"/>
  <c r="J429" i="5"/>
  <c r="I429" i="5"/>
  <c r="K428" i="5"/>
  <c r="J428" i="5"/>
  <c r="I428" i="5"/>
  <c r="K427" i="5"/>
  <c r="J427" i="5"/>
  <c r="I427" i="5"/>
  <c r="K426" i="5"/>
  <c r="J426" i="5"/>
  <c r="I426" i="5"/>
  <c r="K425" i="5"/>
  <c r="J425" i="5"/>
  <c r="I425" i="5"/>
  <c r="K424" i="5"/>
  <c r="J424" i="5"/>
  <c r="I424" i="5"/>
  <c r="K423" i="5"/>
  <c r="J423" i="5"/>
  <c r="I423" i="5"/>
  <c r="K422" i="5"/>
  <c r="J422" i="5"/>
  <c r="I422" i="5"/>
  <c r="K421" i="5"/>
  <c r="J421" i="5"/>
  <c r="I421" i="5"/>
  <c r="K420" i="5"/>
  <c r="J420" i="5"/>
  <c r="I420" i="5"/>
  <c r="K419" i="5"/>
  <c r="J419" i="5"/>
  <c r="I419" i="5"/>
  <c r="K418" i="5"/>
  <c r="J418" i="5"/>
  <c r="I418" i="5"/>
  <c r="K417" i="5"/>
  <c r="J417" i="5"/>
  <c r="I417" i="5"/>
  <c r="K416" i="5"/>
  <c r="J416" i="5"/>
  <c r="I416" i="5"/>
  <c r="K415" i="5"/>
  <c r="J415" i="5"/>
  <c r="I415" i="5"/>
  <c r="K414" i="5"/>
  <c r="J414" i="5"/>
  <c r="I414" i="5"/>
  <c r="K413" i="5"/>
  <c r="J413" i="5"/>
  <c r="I413" i="5"/>
  <c r="K412" i="5"/>
  <c r="J412" i="5"/>
  <c r="I412" i="5"/>
  <c r="K411" i="5"/>
  <c r="J411" i="5"/>
  <c r="I411" i="5"/>
  <c r="K410" i="5"/>
  <c r="J410" i="5"/>
  <c r="I410" i="5"/>
  <c r="K409" i="5"/>
  <c r="J409" i="5"/>
  <c r="I409" i="5"/>
  <c r="K408" i="5"/>
  <c r="J408" i="5"/>
  <c r="I408" i="5"/>
  <c r="K407" i="5"/>
  <c r="J407" i="5"/>
  <c r="I407" i="5"/>
  <c r="K406" i="5"/>
  <c r="J406" i="5"/>
  <c r="I406" i="5"/>
  <c r="K405" i="5"/>
  <c r="J405" i="5"/>
  <c r="I405" i="5"/>
  <c r="K404" i="5"/>
  <c r="J404" i="5"/>
  <c r="I404" i="5"/>
  <c r="K403" i="5"/>
  <c r="J403" i="5"/>
  <c r="I403" i="5"/>
  <c r="K402" i="5"/>
  <c r="J402" i="5"/>
  <c r="I402" i="5"/>
  <c r="K401" i="5"/>
  <c r="J401" i="5"/>
  <c r="I401" i="5"/>
  <c r="K400" i="5"/>
  <c r="J400" i="5"/>
  <c r="I400" i="5"/>
  <c r="K399" i="5"/>
  <c r="J399" i="5"/>
  <c r="I399" i="5"/>
  <c r="K398" i="5"/>
  <c r="J398" i="5"/>
  <c r="I398" i="5"/>
  <c r="K397" i="5"/>
  <c r="J397" i="5"/>
  <c r="I397" i="5"/>
  <c r="K396" i="5"/>
  <c r="J396" i="5"/>
  <c r="I396" i="5"/>
  <c r="K395" i="5"/>
  <c r="J395" i="5"/>
  <c r="I395" i="5"/>
  <c r="K394" i="5"/>
  <c r="J394" i="5"/>
  <c r="I394" i="5"/>
  <c r="K393" i="5"/>
  <c r="J393" i="5"/>
  <c r="I393" i="5"/>
  <c r="K392" i="5"/>
  <c r="J392" i="5"/>
  <c r="I392" i="5"/>
  <c r="K391" i="5"/>
  <c r="J391" i="5"/>
  <c r="I391" i="5"/>
  <c r="K390" i="5"/>
  <c r="J390" i="5"/>
  <c r="I390" i="5"/>
  <c r="K389" i="5"/>
  <c r="J389" i="5"/>
  <c r="I389" i="5"/>
  <c r="K388" i="5"/>
  <c r="J388" i="5"/>
  <c r="I388" i="5"/>
  <c r="K387" i="5"/>
  <c r="J387" i="5"/>
  <c r="I387" i="5"/>
  <c r="K386" i="5"/>
  <c r="J386" i="5"/>
  <c r="I386" i="5"/>
  <c r="K385" i="5"/>
  <c r="J385" i="5"/>
  <c r="I385" i="5"/>
  <c r="K384" i="5"/>
  <c r="J384" i="5"/>
  <c r="I384" i="5"/>
  <c r="K383" i="5"/>
  <c r="J383" i="5"/>
  <c r="I383" i="5"/>
  <c r="K382" i="5"/>
  <c r="J382" i="5"/>
  <c r="I382" i="5"/>
  <c r="K381" i="5"/>
  <c r="J381" i="5"/>
  <c r="I381" i="5"/>
  <c r="K380" i="5"/>
  <c r="J380" i="5"/>
  <c r="I380" i="5"/>
  <c r="K379" i="5"/>
  <c r="J379" i="5"/>
  <c r="I379" i="5"/>
  <c r="K378" i="5"/>
  <c r="J378" i="5"/>
  <c r="I378" i="5"/>
  <c r="K377" i="5"/>
  <c r="J377" i="5"/>
  <c r="I377" i="5"/>
  <c r="K376" i="5"/>
  <c r="J376" i="5"/>
  <c r="I376" i="5"/>
  <c r="K375" i="5"/>
  <c r="J375" i="5"/>
  <c r="I375" i="5"/>
  <c r="K374" i="5"/>
  <c r="J374" i="5"/>
  <c r="I374" i="5"/>
  <c r="K373" i="5"/>
  <c r="J373" i="5"/>
  <c r="I373" i="5"/>
  <c r="K372" i="5"/>
  <c r="J372" i="5"/>
  <c r="I372" i="5"/>
  <c r="K371" i="5"/>
  <c r="J371" i="5"/>
  <c r="I371" i="5"/>
  <c r="K370" i="5"/>
  <c r="J370" i="5"/>
  <c r="I370" i="5"/>
  <c r="K369" i="5"/>
  <c r="J369" i="5"/>
  <c r="I369" i="5"/>
  <c r="K368" i="5"/>
  <c r="J368" i="5"/>
  <c r="I368" i="5"/>
  <c r="K367" i="5"/>
  <c r="J367" i="5"/>
  <c r="I367" i="5"/>
  <c r="K366" i="5"/>
  <c r="J366" i="5"/>
  <c r="I366" i="5"/>
  <c r="K365" i="5"/>
  <c r="J365" i="5"/>
  <c r="I365" i="5"/>
  <c r="K364" i="5"/>
  <c r="J364" i="5"/>
  <c r="I364" i="5"/>
  <c r="K363" i="5"/>
  <c r="J363" i="5"/>
  <c r="I363" i="5"/>
  <c r="K362" i="5"/>
  <c r="J362" i="5"/>
  <c r="I362" i="5"/>
  <c r="K361" i="5"/>
  <c r="J361" i="5"/>
  <c r="I361" i="5"/>
  <c r="K360" i="5"/>
  <c r="J360" i="5"/>
  <c r="I360" i="5"/>
  <c r="K359" i="5"/>
  <c r="J359" i="5"/>
  <c r="I359" i="5"/>
  <c r="K358" i="5"/>
  <c r="J358" i="5"/>
  <c r="I358" i="5"/>
  <c r="K357" i="5"/>
  <c r="J357" i="5"/>
  <c r="I357" i="5"/>
  <c r="K356" i="5"/>
  <c r="J356" i="5"/>
  <c r="I356" i="5"/>
  <c r="K355" i="5"/>
  <c r="J355" i="5"/>
  <c r="I355" i="5"/>
  <c r="K354" i="5"/>
  <c r="J354" i="5"/>
  <c r="I354" i="5"/>
  <c r="K353" i="5"/>
  <c r="J353" i="5"/>
  <c r="I353" i="5"/>
  <c r="K352" i="5"/>
  <c r="J352" i="5"/>
  <c r="I352" i="5"/>
  <c r="K351" i="5"/>
  <c r="J351" i="5"/>
  <c r="I351" i="5"/>
  <c r="K350" i="5"/>
  <c r="J350" i="5"/>
  <c r="I350" i="5"/>
  <c r="K349" i="5"/>
  <c r="J349" i="5"/>
  <c r="I349" i="5"/>
  <c r="K348" i="5"/>
  <c r="J348" i="5"/>
  <c r="I348" i="5"/>
  <c r="K347" i="5"/>
  <c r="J347" i="5"/>
  <c r="I347" i="5"/>
  <c r="K346" i="5"/>
  <c r="J346" i="5"/>
  <c r="I346" i="5"/>
  <c r="K345" i="5"/>
  <c r="J345" i="5"/>
  <c r="I345" i="5"/>
  <c r="K344" i="5"/>
  <c r="J344" i="5"/>
  <c r="I344" i="5"/>
  <c r="K343" i="5"/>
  <c r="J343" i="5"/>
  <c r="I343" i="5"/>
  <c r="K342" i="5"/>
  <c r="J342" i="5"/>
  <c r="I342" i="5"/>
  <c r="K341" i="5"/>
  <c r="J341" i="5"/>
  <c r="I341" i="5"/>
  <c r="K340" i="5"/>
  <c r="J340" i="5"/>
  <c r="I340" i="5"/>
  <c r="K339" i="5"/>
  <c r="J339" i="5"/>
  <c r="I339" i="5"/>
  <c r="K338" i="5"/>
  <c r="J338" i="5"/>
  <c r="I338" i="5"/>
  <c r="K337" i="5"/>
  <c r="J337" i="5"/>
  <c r="I337" i="5"/>
  <c r="K336" i="5"/>
  <c r="J336" i="5"/>
  <c r="I336" i="5"/>
  <c r="K335" i="5"/>
  <c r="J335" i="5"/>
  <c r="I335" i="5"/>
  <c r="K334" i="5"/>
  <c r="J334" i="5"/>
  <c r="I334" i="5"/>
  <c r="K333" i="5"/>
  <c r="J333" i="5"/>
  <c r="I333" i="5"/>
  <c r="K332" i="5"/>
  <c r="J332" i="5"/>
  <c r="I332" i="5"/>
  <c r="K331" i="5"/>
  <c r="J331" i="5"/>
  <c r="I331" i="5"/>
  <c r="K330" i="5"/>
  <c r="J330" i="5"/>
  <c r="I330" i="5"/>
  <c r="K329" i="5"/>
  <c r="J329" i="5"/>
  <c r="I329" i="5"/>
  <c r="K328" i="5"/>
  <c r="J328" i="5"/>
  <c r="I328" i="5"/>
  <c r="K327" i="5"/>
  <c r="J327" i="5"/>
  <c r="I327" i="5"/>
  <c r="K326" i="5"/>
  <c r="J326" i="5"/>
  <c r="I326" i="5"/>
  <c r="K325" i="5"/>
  <c r="J325" i="5"/>
  <c r="I325" i="5"/>
  <c r="K324" i="5"/>
  <c r="J324" i="5"/>
  <c r="I324" i="5"/>
  <c r="K323" i="5"/>
  <c r="J323" i="5"/>
  <c r="I323" i="5"/>
  <c r="K322" i="5"/>
  <c r="J322" i="5"/>
  <c r="I322" i="5"/>
  <c r="K321" i="5"/>
  <c r="J321" i="5"/>
  <c r="I321" i="5"/>
  <c r="K320" i="5"/>
  <c r="J320" i="5"/>
  <c r="I320" i="5"/>
  <c r="K319" i="5"/>
  <c r="J319" i="5"/>
  <c r="I319" i="5"/>
  <c r="K318" i="5"/>
  <c r="J318" i="5"/>
  <c r="I318" i="5"/>
  <c r="K317" i="5"/>
  <c r="J317" i="5"/>
  <c r="I317" i="5"/>
  <c r="K316" i="5"/>
  <c r="J316" i="5"/>
  <c r="I316" i="5"/>
  <c r="K315" i="5"/>
  <c r="J315" i="5"/>
  <c r="I315" i="5"/>
  <c r="K314" i="5"/>
  <c r="J314" i="5"/>
  <c r="I314" i="5"/>
  <c r="K313" i="5"/>
  <c r="J313" i="5"/>
  <c r="I313" i="5"/>
  <c r="K312" i="5"/>
  <c r="J312" i="5"/>
  <c r="I312" i="5"/>
  <c r="K311" i="5"/>
  <c r="J311" i="5"/>
  <c r="I311" i="5"/>
  <c r="K310" i="5"/>
  <c r="J310" i="5"/>
  <c r="I310" i="5"/>
  <c r="K309" i="5"/>
  <c r="J309" i="5"/>
  <c r="I309" i="5"/>
  <c r="K308" i="5"/>
  <c r="J308" i="5"/>
  <c r="I308" i="5"/>
  <c r="K307" i="5"/>
  <c r="J307" i="5"/>
  <c r="I307" i="5"/>
  <c r="K306" i="5"/>
  <c r="J306" i="5"/>
  <c r="I306" i="5"/>
  <c r="K305" i="5"/>
  <c r="J305" i="5"/>
  <c r="I305" i="5"/>
  <c r="K304" i="5"/>
  <c r="J304" i="5"/>
  <c r="I304" i="5"/>
  <c r="K303" i="5"/>
  <c r="J303" i="5"/>
  <c r="I303" i="5"/>
  <c r="K302" i="5"/>
  <c r="J302" i="5"/>
  <c r="I302" i="5"/>
  <c r="K301" i="5"/>
  <c r="J301" i="5"/>
  <c r="I301" i="5"/>
  <c r="K300" i="5"/>
  <c r="J300" i="5"/>
  <c r="I300" i="5"/>
  <c r="K299" i="5"/>
  <c r="J299" i="5"/>
  <c r="I299" i="5"/>
  <c r="K298" i="5"/>
  <c r="J298" i="5"/>
  <c r="I298" i="5"/>
  <c r="K297" i="5"/>
  <c r="J297" i="5"/>
  <c r="I297" i="5"/>
  <c r="K296" i="5"/>
  <c r="J296" i="5"/>
  <c r="I296" i="5"/>
  <c r="K295" i="5"/>
  <c r="J295" i="5"/>
  <c r="I295" i="5"/>
  <c r="K294" i="5"/>
  <c r="J294" i="5"/>
  <c r="I294" i="5"/>
  <c r="K293" i="5"/>
  <c r="J293" i="5"/>
  <c r="I293" i="5"/>
  <c r="K292" i="5"/>
  <c r="J292" i="5"/>
  <c r="I292" i="5"/>
  <c r="K291" i="5"/>
  <c r="J291" i="5"/>
  <c r="I291" i="5"/>
  <c r="K290" i="5"/>
  <c r="J290" i="5"/>
  <c r="I290" i="5"/>
  <c r="K289" i="5"/>
  <c r="J289" i="5"/>
  <c r="I289" i="5"/>
  <c r="K288" i="5"/>
  <c r="J288" i="5"/>
  <c r="I288" i="5"/>
  <c r="K287" i="5"/>
  <c r="J287" i="5"/>
  <c r="I287" i="5"/>
  <c r="K286" i="5"/>
  <c r="J286" i="5"/>
  <c r="I286" i="5"/>
  <c r="K285" i="5"/>
  <c r="J285" i="5"/>
  <c r="I285" i="5"/>
  <c r="K284" i="5"/>
  <c r="J284" i="5"/>
  <c r="I284" i="5"/>
  <c r="K283" i="5"/>
  <c r="J283" i="5"/>
  <c r="I283" i="5"/>
  <c r="K282" i="5"/>
  <c r="J282" i="5"/>
  <c r="I282" i="5"/>
  <c r="K281" i="5"/>
  <c r="J281" i="5"/>
  <c r="I281" i="5"/>
  <c r="K280" i="5"/>
  <c r="J280" i="5"/>
  <c r="I280" i="5"/>
  <c r="K279" i="5"/>
  <c r="J279" i="5"/>
  <c r="I279" i="5"/>
  <c r="K278" i="5"/>
  <c r="J278" i="5"/>
  <c r="I278" i="5"/>
  <c r="K277" i="5"/>
  <c r="J277" i="5"/>
  <c r="I277" i="5"/>
  <c r="K276" i="5"/>
  <c r="J276" i="5"/>
  <c r="I276" i="5"/>
  <c r="K275" i="5"/>
  <c r="J275" i="5"/>
  <c r="I275" i="5"/>
  <c r="K274" i="5"/>
  <c r="J274" i="5"/>
  <c r="I274" i="5"/>
  <c r="K273" i="5"/>
  <c r="J273" i="5"/>
  <c r="I273" i="5"/>
  <c r="K272" i="5"/>
  <c r="J272" i="5"/>
  <c r="I272" i="5"/>
  <c r="K271" i="5"/>
  <c r="J271" i="5"/>
  <c r="I271" i="5"/>
  <c r="K270" i="5"/>
  <c r="J270" i="5"/>
  <c r="I270" i="5"/>
  <c r="K269" i="5"/>
  <c r="J269" i="5"/>
  <c r="I269" i="5"/>
  <c r="K268" i="5"/>
  <c r="J268" i="5"/>
  <c r="I268" i="5"/>
  <c r="K267" i="5"/>
  <c r="J267" i="5"/>
  <c r="I267" i="5"/>
  <c r="K266" i="5"/>
  <c r="J266" i="5"/>
  <c r="I266" i="5"/>
  <c r="K265" i="5"/>
  <c r="J265" i="5"/>
  <c r="I265" i="5"/>
  <c r="K264" i="5"/>
  <c r="J264" i="5"/>
  <c r="I264" i="5"/>
  <c r="K263" i="5"/>
  <c r="J263" i="5"/>
  <c r="I263" i="5"/>
  <c r="K262" i="5"/>
  <c r="J262" i="5"/>
  <c r="I262" i="5"/>
  <c r="K261" i="5"/>
  <c r="J261" i="5"/>
  <c r="I261" i="5"/>
  <c r="K260" i="5"/>
  <c r="J260" i="5"/>
  <c r="I260" i="5"/>
  <c r="K259" i="5"/>
  <c r="J259" i="5"/>
  <c r="I259" i="5"/>
  <c r="K258" i="5"/>
  <c r="J258" i="5"/>
  <c r="I258" i="5"/>
  <c r="K257" i="5"/>
  <c r="J257" i="5"/>
  <c r="I257" i="5"/>
  <c r="K256" i="5"/>
  <c r="J256" i="5"/>
  <c r="I256" i="5"/>
  <c r="K255" i="5"/>
  <c r="J255" i="5"/>
  <c r="I255" i="5"/>
  <c r="K254" i="5"/>
  <c r="J254" i="5"/>
  <c r="I254" i="5"/>
  <c r="K253" i="5"/>
  <c r="J253" i="5"/>
  <c r="I253" i="5"/>
  <c r="K252" i="5"/>
  <c r="J252" i="5"/>
  <c r="I252" i="5"/>
  <c r="K251" i="5"/>
  <c r="J251" i="5"/>
  <c r="I251" i="5"/>
  <c r="K250" i="5"/>
  <c r="J250" i="5"/>
  <c r="I250" i="5"/>
  <c r="K249" i="5"/>
  <c r="J249" i="5"/>
  <c r="I249" i="5"/>
  <c r="K248" i="5"/>
  <c r="J248" i="5"/>
  <c r="I248" i="5"/>
  <c r="K247" i="5"/>
  <c r="J247" i="5"/>
  <c r="I247" i="5"/>
  <c r="K246" i="5"/>
  <c r="J246" i="5"/>
  <c r="I246" i="5"/>
  <c r="K245" i="5"/>
  <c r="J245" i="5"/>
  <c r="I245" i="5"/>
  <c r="K244" i="5"/>
  <c r="J244" i="5"/>
  <c r="I244" i="5"/>
  <c r="K243" i="5"/>
  <c r="J243" i="5"/>
  <c r="I243" i="5"/>
  <c r="K242" i="5"/>
  <c r="J242" i="5"/>
  <c r="I242" i="5"/>
  <c r="K241" i="5"/>
  <c r="J241" i="5"/>
  <c r="I241" i="5"/>
  <c r="K240" i="5"/>
  <c r="J240" i="5"/>
  <c r="I240" i="5"/>
  <c r="K239" i="5"/>
  <c r="J239" i="5"/>
  <c r="I239" i="5"/>
  <c r="K238" i="5"/>
  <c r="J238" i="5"/>
  <c r="I238" i="5"/>
  <c r="K237" i="5"/>
  <c r="J237" i="5"/>
  <c r="I237" i="5"/>
  <c r="K236" i="5"/>
  <c r="J236" i="5"/>
  <c r="I236" i="5"/>
  <c r="K235" i="5"/>
  <c r="J235" i="5"/>
  <c r="I235" i="5"/>
  <c r="K234" i="5"/>
  <c r="J234" i="5"/>
  <c r="I234" i="5"/>
  <c r="K233" i="5"/>
  <c r="J233" i="5"/>
  <c r="I233" i="5"/>
  <c r="K232" i="5"/>
  <c r="J232" i="5"/>
  <c r="I232" i="5"/>
  <c r="K231" i="5"/>
  <c r="J231" i="5"/>
  <c r="I231" i="5"/>
  <c r="K230" i="5"/>
  <c r="J230" i="5"/>
  <c r="I230" i="5"/>
  <c r="K229" i="5"/>
  <c r="J229" i="5"/>
  <c r="I229" i="5"/>
  <c r="K228" i="5"/>
  <c r="J228" i="5"/>
  <c r="I228" i="5"/>
  <c r="K227" i="5"/>
  <c r="J227" i="5"/>
  <c r="I227" i="5"/>
  <c r="K226" i="5"/>
  <c r="J226" i="5"/>
  <c r="I226" i="5"/>
  <c r="K225" i="5"/>
  <c r="J225" i="5"/>
  <c r="I225" i="5"/>
  <c r="K224" i="5"/>
  <c r="J224" i="5"/>
  <c r="I224" i="5"/>
  <c r="K223" i="5"/>
  <c r="J223" i="5"/>
  <c r="I223" i="5"/>
  <c r="K222" i="5"/>
  <c r="J222" i="5"/>
  <c r="I222" i="5"/>
  <c r="K221" i="5"/>
  <c r="J221" i="5"/>
  <c r="I221" i="5"/>
  <c r="K220" i="5"/>
  <c r="J220" i="5"/>
  <c r="I220" i="5"/>
  <c r="K219" i="5"/>
  <c r="J219" i="5"/>
  <c r="I219" i="5"/>
  <c r="K218" i="5"/>
  <c r="J218" i="5"/>
  <c r="I218" i="5"/>
  <c r="K217" i="5"/>
  <c r="J217" i="5"/>
  <c r="I217" i="5"/>
  <c r="K216" i="5"/>
  <c r="J216" i="5"/>
  <c r="I216" i="5"/>
  <c r="K215" i="5"/>
  <c r="J215" i="5"/>
  <c r="I215" i="5"/>
  <c r="K214" i="5"/>
  <c r="J214" i="5"/>
  <c r="I214" i="5"/>
  <c r="K213" i="5"/>
  <c r="J213" i="5"/>
  <c r="I213" i="5"/>
  <c r="K212" i="5"/>
  <c r="J212" i="5"/>
  <c r="I212" i="5"/>
  <c r="K211" i="5"/>
  <c r="J211" i="5"/>
  <c r="I211" i="5"/>
  <c r="K210" i="5"/>
  <c r="J210" i="5"/>
  <c r="I210" i="5"/>
  <c r="K209" i="5"/>
  <c r="J209" i="5"/>
  <c r="I209" i="5"/>
  <c r="K208" i="5"/>
  <c r="J208" i="5"/>
  <c r="I208" i="5"/>
  <c r="K207" i="5"/>
  <c r="J207" i="5"/>
  <c r="I207" i="5"/>
  <c r="K206" i="5"/>
  <c r="J206" i="5"/>
  <c r="I206" i="5"/>
  <c r="K205" i="5"/>
  <c r="J205" i="5"/>
  <c r="I205" i="5"/>
  <c r="K204" i="5"/>
  <c r="J204" i="5"/>
  <c r="I204" i="5"/>
  <c r="K203" i="5"/>
  <c r="J203" i="5"/>
  <c r="I203" i="5"/>
  <c r="K202" i="5"/>
  <c r="J202" i="5"/>
  <c r="I202" i="5"/>
  <c r="K201" i="5"/>
  <c r="J201" i="5"/>
  <c r="I201" i="5"/>
  <c r="K200" i="5"/>
  <c r="J200" i="5"/>
  <c r="I200" i="5"/>
  <c r="K199" i="5"/>
  <c r="J199" i="5"/>
  <c r="I199" i="5"/>
  <c r="K198" i="5"/>
  <c r="J198" i="5"/>
  <c r="I198" i="5"/>
  <c r="K197" i="5"/>
  <c r="J197" i="5"/>
  <c r="I197" i="5"/>
  <c r="K196" i="5"/>
  <c r="J196" i="5"/>
  <c r="I196" i="5"/>
  <c r="K195" i="5"/>
  <c r="J195" i="5"/>
  <c r="I195" i="5"/>
  <c r="K194" i="5"/>
  <c r="J194" i="5"/>
  <c r="I194" i="5"/>
  <c r="K193" i="5"/>
  <c r="J193" i="5"/>
  <c r="I193" i="5"/>
  <c r="K192" i="5"/>
  <c r="J192" i="5"/>
  <c r="I192" i="5"/>
  <c r="K191" i="5"/>
  <c r="J191" i="5"/>
  <c r="I191" i="5"/>
  <c r="K190" i="5"/>
  <c r="J190" i="5"/>
  <c r="I190" i="5"/>
  <c r="K189" i="5"/>
  <c r="J189" i="5"/>
  <c r="I189" i="5"/>
  <c r="K188" i="5"/>
  <c r="J188" i="5"/>
  <c r="I188" i="5"/>
  <c r="K187" i="5"/>
  <c r="J187" i="5"/>
  <c r="I187" i="5"/>
  <c r="K186" i="5"/>
  <c r="J186" i="5"/>
  <c r="I186" i="5"/>
  <c r="K185" i="5"/>
  <c r="J185" i="5"/>
  <c r="I185" i="5"/>
  <c r="K184" i="5"/>
  <c r="J184" i="5"/>
  <c r="I184" i="5"/>
  <c r="K183" i="5"/>
  <c r="J183" i="5"/>
  <c r="I183" i="5"/>
  <c r="K182" i="5"/>
  <c r="J182" i="5"/>
  <c r="I182" i="5"/>
  <c r="K181" i="5"/>
  <c r="J181" i="5"/>
  <c r="I181" i="5"/>
  <c r="K180" i="5"/>
  <c r="J180" i="5"/>
  <c r="I180" i="5"/>
  <c r="K179" i="5"/>
  <c r="J179" i="5"/>
  <c r="I179" i="5"/>
  <c r="K178" i="5"/>
  <c r="J178" i="5"/>
  <c r="I178" i="5"/>
  <c r="K177" i="5"/>
  <c r="J177" i="5"/>
  <c r="I177" i="5"/>
  <c r="K176" i="5"/>
  <c r="J176" i="5"/>
  <c r="I176" i="5"/>
  <c r="K175" i="5"/>
  <c r="J175" i="5"/>
  <c r="I175" i="5"/>
  <c r="K174" i="5"/>
  <c r="J174" i="5"/>
  <c r="I174" i="5"/>
  <c r="K173" i="5"/>
  <c r="J173" i="5"/>
  <c r="I173" i="5"/>
  <c r="K172" i="5"/>
  <c r="J172" i="5"/>
  <c r="I172" i="5"/>
  <c r="K171" i="5"/>
  <c r="J171" i="5"/>
  <c r="I171" i="5"/>
  <c r="K170" i="5"/>
  <c r="J170" i="5"/>
  <c r="I170" i="5"/>
  <c r="K169" i="5"/>
  <c r="J169" i="5"/>
  <c r="I169" i="5"/>
  <c r="K168" i="5"/>
  <c r="J168" i="5"/>
  <c r="I168" i="5"/>
  <c r="K167" i="5"/>
  <c r="J167" i="5"/>
  <c r="I167" i="5"/>
  <c r="K166" i="5"/>
  <c r="J166" i="5"/>
  <c r="I166" i="5"/>
  <c r="K165" i="5"/>
  <c r="J165" i="5"/>
  <c r="I165" i="5"/>
  <c r="K164" i="5"/>
  <c r="J164" i="5"/>
  <c r="I164" i="5"/>
  <c r="K163" i="5"/>
  <c r="J163" i="5"/>
  <c r="I163" i="5"/>
  <c r="K162" i="5"/>
  <c r="J162" i="5"/>
  <c r="I162" i="5"/>
  <c r="K161" i="5"/>
  <c r="J161" i="5"/>
  <c r="I161" i="5"/>
  <c r="K160" i="5"/>
  <c r="J160" i="5"/>
  <c r="I160" i="5"/>
  <c r="K159" i="5"/>
  <c r="J159" i="5"/>
  <c r="I159" i="5"/>
  <c r="K158" i="5"/>
  <c r="J158" i="5"/>
  <c r="I158" i="5"/>
  <c r="K157" i="5"/>
  <c r="J157" i="5"/>
  <c r="I157" i="5"/>
  <c r="K156" i="5"/>
  <c r="J156" i="5"/>
  <c r="I156" i="5"/>
  <c r="K155" i="5"/>
  <c r="J155" i="5"/>
  <c r="I155" i="5"/>
  <c r="K154" i="5"/>
  <c r="J154" i="5"/>
  <c r="I154" i="5"/>
  <c r="K153" i="5"/>
  <c r="J153" i="5"/>
  <c r="I153" i="5"/>
  <c r="K152" i="5"/>
  <c r="J152" i="5"/>
  <c r="I152" i="5"/>
  <c r="K151" i="5"/>
  <c r="J151" i="5"/>
  <c r="I151" i="5"/>
  <c r="K150" i="5"/>
  <c r="J150" i="5"/>
  <c r="I150" i="5"/>
  <c r="K149" i="5"/>
  <c r="J149" i="5"/>
  <c r="I149" i="5"/>
  <c r="K148" i="5"/>
  <c r="J148" i="5"/>
  <c r="I148" i="5"/>
  <c r="K147" i="5"/>
  <c r="J147" i="5"/>
  <c r="I147" i="5"/>
  <c r="K146" i="5"/>
  <c r="J146" i="5"/>
  <c r="I146" i="5"/>
  <c r="K145" i="5"/>
  <c r="J145" i="5"/>
  <c r="I145" i="5"/>
  <c r="K144" i="5"/>
  <c r="J144" i="5"/>
  <c r="I144" i="5"/>
  <c r="K143" i="5"/>
  <c r="J143" i="5"/>
  <c r="I143" i="5"/>
  <c r="K142" i="5"/>
  <c r="J142" i="5"/>
  <c r="I142" i="5"/>
  <c r="K141" i="5"/>
  <c r="J141" i="5"/>
  <c r="I141" i="5"/>
  <c r="K140" i="5"/>
  <c r="J140" i="5"/>
  <c r="I140" i="5"/>
  <c r="K139" i="5"/>
  <c r="J139" i="5"/>
  <c r="I139" i="5"/>
  <c r="K138" i="5"/>
  <c r="J138" i="5"/>
  <c r="I138" i="5"/>
  <c r="K137" i="5"/>
  <c r="J137" i="5"/>
  <c r="I137" i="5"/>
  <c r="K136" i="5"/>
  <c r="J136" i="5"/>
  <c r="I136" i="5"/>
  <c r="K135" i="5"/>
  <c r="J135" i="5"/>
  <c r="I135" i="5"/>
  <c r="K134" i="5"/>
  <c r="J134" i="5"/>
  <c r="I134" i="5"/>
  <c r="K133" i="5"/>
  <c r="J133" i="5"/>
  <c r="I133" i="5"/>
  <c r="K132" i="5"/>
  <c r="J132" i="5"/>
  <c r="I132" i="5"/>
  <c r="K131" i="5"/>
  <c r="J131" i="5"/>
  <c r="I131" i="5"/>
  <c r="K130" i="5"/>
  <c r="J130" i="5"/>
  <c r="I130" i="5"/>
  <c r="K129" i="5"/>
  <c r="J129" i="5"/>
  <c r="I129" i="5"/>
  <c r="K128" i="5"/>
  <c r="J128" i="5"/>
  <c r="I128" i="5"/>
  <c r="K127" i="5"/>
  <c r="J127" i="5"/>
  <c r="I127" i="5"/>
  <c r="K126" i="5"/>
  <c r="J126" i="5"/>
  <c r="I126" i="5"/>
  <c r="K125" i="5"/>
  <c r="J125" i="5"/>
  <c r="I125" i="5"/>
  <c r="K124" i="5"/>
  <c r="J124" i="5"/>
  <c r="I124" i="5"/>
  <c r="K123" i="5"/>
  <c r="J123" i="5"/>
  <c r="I123" i="5"/>
  <c r="K122" i="5"/>
  <c r="J122" i="5"/>
  <c r="I122" i="5"/>
  <c r="K121" i="5"/>
  <c r="J121" i="5"/>
  <c r="I121" i="5"/>
  <c r="K120" i="5"/>
  <c r="J120" i="5"/>
  <c r="I120" i="5"/>
  <c r="K119" i="5"/>
  <c r="J119" i="5"/>
  <c r="I119" i="5"/>
  <c r="K118" i="5"/>
  <c r="J118" i="5"/>
  <c r="I118" i="5"/>
  <c r="K117" i="5"/>
  <c r="J117" i="5"/>
  <c r="I117" i="5"/>
  <c r="K116" i="5"/>
  <c r="J116" i="5"/>
  <c r="I116" i="5"/>
  <c r="K115" i="5"/>
  <c r="J115" i="5"/>
  <c r="I115" i="5"/>
  <c r="K114" i="5"/>
  <c r="J114" i="5"/>
  <c r="I114" i="5"/>
  <c r="K113" i="5"/>
  <c r="J113" i="5"/>
  <c r="I113" i="5"/>
  <c r="K112" i="5"/>
  <c r="J112" i="5"/>
  <c r="I112" i="5"/>
  <c r="K111" i="5"/>
  <c r="J111" i="5"/>
  <c r="I111" i="5"/>
  <c r="K110" i="5"/>
  <c r="J110" i="5"/>
  <c r="I110" i="5"/>
  <c r="K109" i="5"/>
  <c r="J109" i="5"/>
  <c r="I109" i="5"/>
  <c r="K108" i="5"/>
  <c r="J108" i="5"/>
  <c r="I108" i="5"/>
  <c r="K107" i="5"/>
  <c r="J107" i="5"/>
  <c r="I107" i="5"/>
  <c r="K106" i="5"/>
  <c r="J106" i="5"/>
  <c r="I106" i="5"/>
  <c r="K105" i="5"/>
  <c r="J105" i="5"/>
  <c r="I105" i="5"/>
  <c r="K104" i="5"/>
  <c r="J104" i="5"/>
  <c r="I104" i="5"/>
  <c r="K103" i="5"/>
  <c r="J103" i="5"/>
  <c r="I103" i="5"/>
  <c r="K102" i="5"/>
  <c r="J102" i="5"/>
  <c r="I102" i="5"/>
  <c r="K101" i="5"/>
  <c r="J101" i="5"/>
  <c r="I101" i="5"/>
  <c r="K100" i="5"/>
  <c r="J100" i="5"/>
  <c r="I100" i="5"/>
  <c r="K99" i="5"/>
  <c r="J99" i="5"/>
  <c r="I99" i="5"/>
  <c r="K98" i="5"/>
  <c r="J98" i="5"/>
  <c r="I98" i="5"/>
  <c r="K97" i="5"/>
  <c r="J97" i="5"/>
  <c r="I97" i="5"/>
  <c r="K96" i="5"/>
  <c r="J96" i="5"/>
  <c r="I96" i="5"/>
  <c r="K95" i="5"/>
  <c r="J95" i="5"/>
  <c r="I95" i="5"/>
  <c r="K94" i="5"/>
  <c r="J94" i="5"/>
  <c r="I94" i="5"/>
  <c r="K93" i="5"/>
  <c r="J93" i="5"/>
  <c r="I93" i="5"/>
  <c r="K92" i="5"/>
  <c r="J92" i="5"/>
  <c r="I92" i="5"/>
  <c r="K91" i="5"/>
  <c r="J91" i="5"/>
  <c r="I91" i="5"/>
  <c r="K90" i="5"/>
  <c r="J90" i="5"/>
  <c r="I90" i="5"/>
  <c r="K89" i="5"/>
  <c r="J89" i="5"/>
  <c r="I89" i="5"/>
  <c r="K88" i="5"/>
  <c r="J88" i="5"/>
  <c r="I88" i="5"/>
  <c r="K87" i="5"/>
  <c r="J87" i="5"/>
  <c r="I87" i="5"/>
  <c r="K86" i="5"/>
  <c r="J86" i="5"/>
  <c r="I86" i="5"/>
  <c r="K85" i="5"/>
  <c r="J85" i="5"/>
  <c r="I85" i="5"/>
  <c r="K84" i="5"/>
  <c r="J84" i="5"/>
  <c r="I84" i="5"/>
  <c r="K83" i="5"/>
  <c r="J83" i="5"/>
  <c r="I83" i="5"/>
  <c r="K82" i="5"/>
  <c r="J82" i="5"/>
  <c r="I82" i="5"/>
  <c r="K81" i="5"/>
  <c r="J81" i="5"/>
  <c r="I81" i="5"/>
  <c r="K80" i="5"/>
  <c r="J80" i="5"/>
  <c r="I80" i="5"/>
  <c r="K79" i="5"/>
  <c r="J79" i="5"/>
  <c r="I79" i="5"/>
  <c r="K78" i="5"/>
  <c r="J78" i="5"/>
  <c r="I78" i="5"/>
  <c r="K77" i="5"/>
  <c r="J77" i="5"/>
  <c r="I77" i="5"/>
  <c r="K76" i="5"/>
  <c r="J76" i="5"/>
  <c r="I76" i="5"/>
  <c r="K75" i="5"/>
  <c r="J75" i="5"/>
  <c r="I75" i="5"/>
  <c r="K74" i="5"/>
  <c r="J74" i="5"/>
  <c r="I74" i="5"/>
  <c r="K73" i="5"/>
  <c r="J73" i="5"/>
  <c r="I73" i="5"/>
  <c r="K72" i="5"/>
  <c r="J72" i="5"/>
  <c r="I72" i="5"/>
  <c r="K71" i="5"/>
  <c r="J71" i="5"/>
  <c r="I71" i="5"/>
  <c r="K70" i="5"/>
  <c r="J70" i="5"/>
  <c r="I70" i="5"/>
  <c r="K69" i="5"/>
  <c r="J69" i="5"/>
  <c r="I69" i="5"/>
  <c r="K68" i="5"/>
  <c r="J68" i="5"/>
  <c r="I68" i="5"/>
  <c r="K67" i="5"/>
  <c r="J67" i="5"/>
  <c r="I67" i="5"/>
  <c r="K66" i="5"/>
  <c r="J66" i="5"/>
  <c r="I66" i="5"/>
  <c r="K65" i="5"/>
  <c r="J65" i="5"/>
  <c r="I65" i="5"/>
  <c r="K64" i="5"/>
  <c r="J64" i="5"/>
  <c r="I64" i="5"/>
  <c r="K63" i="5"/>
  <c r="J63" i="5"/>
  <c r="I63" i="5"/>
  <c r="K62" i="5"/>
  <c r="J62" i="5"/>
  <c r="I62" i="5"/>
  <c r="K61" i="5"/>
  <c r="J61" i="5"/>
  <c r="I61" i="5"/>
  <c r="K60" i="5"/>
  <c r="J60" i="5"/>
  <c r="I60" i="5"/>
  <c r="K59" i="5"/>
  <c r="J59" i="5"/>
  <c r="I59" i="5"/>
  <c r="K58" i="5"/>
  <c r="J58" i="5"/>
  <c r="I58" i="5"/>
  <c r="K57" i="5"/>
  <c r="J57" i="5"/>
  <c r="I57" i="5"/>
  <c r="K56" i="5"/>
  <c r="J56" i="5"/>
  <c r="I56" i="5"/>
  <c r="K55" i="5"/>
  <c r="J55" i="5"/>
  <c r="I55" i="5"/>
  <c r="K54" i="5"/>
  <c r="J54" i="5"/>
  <c r="I54" i="5"/>
  <c r="K53" i="5"/>
  <c r="J53" i="5"/>
  <c r="I53" i="5"/>
  <c r="K52" i="5"/>
  <c r="J52" i="5"/>
  <c r="I52" i="5"/>
  <c r="K51" i="5"/>
  <c r="J51" i="5"/>
  <c r="I51" i="5"/>
  <c r="K50" i="5"/>
  <c r="J50" i="5"/>
  <c r="I50" i="5"/>
  <c r="K49" i="5"/>
  <c r="J49" i="5"/>
  <c r="I49" i="5"/>
  <c r="K48" i="5"/>
  <c r="J48" i="5"/>
  <c r="I48" i="5"/>
  <c r="K47" i="5"/>
  <c r="J47" i="5"/>
  <c r="I47" i="5"/>
  <c r="K46" i="5"/>
  <c r="J46" i="5"/>
  <c r="I46" i="5"/>
  <c r="K45" i="5"/>
  <c r="J45" i="5"/>
  <c r="I45" i="5"/>
  <c r="K44" i="5"/>
  <c r="J44" i="5"/>
  <c r="I44" i="5"/>
  <c r="K43" i="5"/>
  <c r="J43" i="5"/>
  <c r="I43" i="5"/>
  <c r="K42" i="5"/>
  <c r="J42" i="5"/>
  <c r="I42" i="5"/>
  <c r="K41" i="5"/>
  <c r="J41" i="5"/>
  <c r="I41" i="5"/>
  <c r="K40" i="5"/>
  <c r="J40" i="5"/>
  <c r="I40" i="5"/>
  <c r="K39" i="5"/>
  <c r="J39" i="5"/>
  <c r="I39" i="5"/>
  <c r="K38" i="5"/>
  <c r="J38" i="5"/>
  <c r="I38" i="5"/>
  <c r="K37" i="5"/>
  <c r="J37" i="5"/>
  <c r="I37" i="5"/>
  <c r="K36" i="5"/>
  <c r="J36" i="5"/>
  <c r="I36" i="5"/>
  <c r="K35" i="5"/>
  <c r="J35" i="5"/>
  <c r="I35" i="5"/>
  <c r="K34" i="5"/>
  <c r="J34" i="5"/>
  <c r="I34" i="5"/>
  <c r="K33" i="5"/>
  <c r="J33" i="5"/>
  <c r="I33" i="5"/>
  <c r="K32" i="5"/>
  <c r="J32" i="5"/>
  <c r="I32" i="5"/>
  <c r="K31" i="5"/>
  <c r="J31" i="5"/>
  <c r="I31" i="5"/>
  <c r="K30" i="5"/>
  <c r="J30" i="5"/>
  <c r="I30" i="5"/>
  <c r="K29" i="5"/>
  <c r="J29" i="5"/>
  <c r="I29" i="5"/>
  <c r="K28" i="5"/>
  <c r="J28" i="5"/>
  <c r="I28" i="5"/>
  <c r="K27" i="5"/>
  <c r="J27" i="5"/>
  <c r="I27" i="5"/>
  <c r="K26" i="5"/>
  <c r="J26" i="5"/>
  <c r="I26" i="5"/>
  <c r="K25" i="5"/>
  <c r="J25" i="5"/>
  <c r="I25" i="5"/>
  <c r="K24" i="5"/>
  <c r="J24" i="5"/>
  <c r="I24" i="5"/>
  <c r="K23" i="5"/>
  <c r="J23" i="5"/>
  <c r="I23" i="5"/>
  <c r="K22" i="5"/>
  <c r="J22" i="5"/>
  <c r="I22" i="5"/>
  <c r="K21" i="5"/>
  <c r="J21" i="5"/>
  <c r="I21" i="5"/>
  <c r="K20" i="5"/>
  <c r="J20" i="5"/>
  <c r="I20" i="5"/>
  <c r="K19" i="5"/>
  <c r="J19" i="5"/>
  <c r="I19" i="5"/>
  <c r="K18" i="5"/>
  <c r="J18" i="5"/>
  <c r="I18" i="5"/>
  <c r="K17" i="5"/>
  <c r="J17" i="5"/>
  <c r="I17" i="5"/>
  <c r="K16" i="5"/>
  <c r="J16" i="5"/>
  <c r="I16" i="5"/>
  <c r="K15" i="5"/>
  <c r="J15" i="5"/>
  <c r="I15" i="5"/>
  <c r="K14" i="5"/>
  <c r="J14" i="5"/>
  <c r="I14" i="5"/>
  <c r="K13" i="5"/>
  <c r="J13" i="5"/>
  <c r="I13" i="5"/>
  <c r="K12" i="5"/>
  <c r="J12" i="5"/>
  <c r="I12" i="5"/>
  <c r="K11" i="5"/>
  <c r="J11" i="5"/>
  <c r="I11" i="5"/>
  <c r="K10" i="5"/>
  <c r="J10" i="5"/>
  <c r="I10" i="5"/>
  <c r="K9" i="5"/>
  <c r="J9" i="5"/>
  <c r="I9" i="5"/>
  <c r="K8" i="5"/>
  <c r="J8" i="5"/>
  <c r="I8" i="5"/>
  <c r="K7" i="5"/>
  <c r="J7" i="5"/>
  <c r="I7" i="5"/>
  <c r="M996" i="5" l="1"/>
  <c r="M988" i="5"/>
  <c r="M964" i="5"/>
  <c r="M956" i="5"/>
  <c r="M940" i="5"/>
  <c r="M900" i="5"/>
  <c r="M884" i="5"/>
  <c r="M876" i="5"/>
  <c r="M860" i="5"/>
  <c r="M844" i="5"/>
  <c r="M820" i="5"/>
  <c r="M804" i="5"/>
  <c r="M796" i="5"/>
  <c r="M780" i="5"/>
  <c r="M756" i="5"/>
  <c r="M724" i="5"/>
  <c r="M716" i="5"/>
  <c r="M700" i="5"/>
  <c r="M684" i="5"/>
  <c r="M668" i="5"/>
  <c r="M652" i="5"/>
  <c r="M628" i="5"/>
  <c r="M612" i="5"/>
  <c r="M604" i="5"/>
  <c r="M580" i="5"/>
  <c r="M556" i="5"/>
  <c r="M540" i="5"/>
  <c r="M516" i="5"/>
  <c r="M500" i="5"/>
  <c r="M492" i="5"/>
  <c r="M452" i="5"/>
  <c r="M436" i="5"/>
  <c r="M396" i="5"/>
  <c r="M420" i="5"/>
  <c r="M412" i="5"/>
  <c r="M980" i="5"/>
  <c r="M972" i="5"/>
  <c r="M948" i="5"/>
  <c r="M932" i="5"/>
  <c r="M924" i="5"/>
  <c r="M916" i="5"/>
  <c r="M908" i="5"/>
  <c r="M892" i="5"/>
  <c r="M868" i="5"/>
  <c r="M852" i="5"/>
  <c r="M836" i="5"/>
  <c r="M828" i="5"/>
  <c r="M812" i="5"/>
  <c r="M788" i="5"/>
  <c r="M772" i="5"/>
  <c r="M764" i="5"/>
  <c r="M748" i="5"/>
  <c r="M740" i="5"/>
  <c r="M732" i="5"/>
  <c r="M708" i="5"/>
  <c r="M692" i="5"/>
  <c r="M676" i="5"/>
  <c r="M660" i="5"/>
  <c r="M644" i="5"/>
  <c r="M636" i="5"/>
  <c r="M620" i="5"/>
  <c r="M596" i="5"/>
  <c r="M588" i="5"/>
  <c r="M572" i="5"/>
  <c r="M564" i="5"/>
  <c r="M548" i="5"/>
  <c r="M532" i="5"/>
  <c r="M524" i="5"/>
  <c r="M508" i="5"/>
  <c r="M484" i="5"/>
  <c r="M476" i="5"/>
  <c r="M468" i="5"/>
  <c r="M460" i="5"/>
  <c r="M444" i="5"/>
  <c r="M428" i="5"/>
  <c r="M404" i="5"/>
  <c r="M233" i="5"/>
  <c r="B233" i="13" s="1"/>
  <c r="M241" i="5"/>
  <c r="B241" i="13" s="1"/>
  <c r="M249" i="5"/>
  <c r="B249" i="13" s="1"/>
  <c r="M997" i="5"/>
  <c r="M989" i="5"/>
  <c r="M981" i="5"/>
  <c r="M973" i="5"/>
  <c r="M965" i="5"/>
  <c r="M957" i="5"/>
  <c r="M949" i="5"/>
  <c r="M941" i="5"/>
  <c r="M933" i="5"/>
  <c r="M925" i="5"/>
  <c r="M917" i="5"/>
  <c r="M909" i="5"/>
  <c r="M901" i="5"/>
  <c r="M893" i="5"/>
  <c r="M885" i="5"/>
  <c r="M877" i="5"/>
  <c r="M869" i="5"/>
  <c r="M861" i="5"/>
  <c r="M853" i="5"/>
  <c r="M845" i="5"/>
  <c r="M837" i="5"/>
  <c r="M829" i="5"/>
  <c r="M821" i="5"/>
  <c r="M813" i="5"/>
  <c r="M805" i="5"/>
  <c r="M797" i="5"/>
  <c r="M789" i="5"/>
  <c r="M781" i="5"/>
  <c r="M773" i="5"/>
  <c r="M765" i="5"/>
  <c r="M757" i="5"/>
  <c r="M749" i="5"/>
  <c r="M741" i="5"/>
  <c r="M733" i="5"/>
  <c r="M725" i="5"/>
  <c r="M717" i="5"/>
  <c r="M709" i="5"/>
  <c r="M701" i="5"/>
  <c r="M693" i="5"/>
  <c r="M685" i="5"/>
  <c r="M677" i="5"/>
  <c r="M669" i="5"/>
  <c r="M661" i="5"/>
  <c r="M653" i="5"/>
  <c r="M645" i="5"/>
  <c r="M637" i="5"/>
  <c r="M629" i="5"/>
  <c r="M621" i="5"/>
  <c r="M613" i="5"/>
  <c r="M605" i="5"/>
  <c r="M597" i="5"/>
  <c r="M589" i="5"/>
  <c r="M581" i="5"/>
  <c r="M573" i="5"/>
  <c r="M565" i="5"/>
  <c r="M557" i="5"/>
  <c r="M549" i="5"/>
  <c r="M541" i="5"/>
  <c r="M533" i="5"/>
  <c r="M525" i="5"/>
  <c r="M517" i="5"/>
  <c r="M509" i="5"/>
  <c r="M501" i="5"/>
  <c r="M493" i="5"/>
  <c r="M485" i="5"/>
  <c r="M477" i="5"/>
  <c r="M469" i="5"/>
  <c r="M461" i="5"/>
  <c r="M453" i="5"/>
  <c r="M445" i="5"/>
  <c r="M437" i="5"/>
  <c r="M429" i="5"/>
  <c r="M421" i="5"/>
  <c r="M413" i="5"/>
  <c r="M405" i="5"/>
  <c r="M397" i="5"/>
  <c r="M389" i="5"/>
  <c r="M388" i="5"/>
  <c r="M381" i="5"/>
  <c r="M380" i="5"/>
  <c r="M373" i="5"/>
  <c r="M372" i="5"/>
  <c r="M365" i="5"/>
  <c r="B365" i="13" s="1"/>
  <c r="M364" i="5"/>
  <c r="B364" i="13" s="1"/>
  <c r="M357" i="5"/>
  <c r="B357" i="13" s="1"/>
  <c r="M356" i="5"/>
  <c r="B356" i="13" s="1"/>
  <c r="M349" i="5"/>
  <c r="B349" i="13" s="1"/>
  <c r="M348" i="5"/>
  <c r="B348" i="13" s="1"/>
  <c r="M341" i="5"/>
  <c r="B341" i="13" s="1"/>
  <c r="M340" i="5"/>
  <c r="B340" i="13" s="1"/>
  <c r="M333" i="5"/>
  <c r="B333" i="13" s="1"/>
  <c r="M332" i="5"/>
  <c r="B332" i="13" s="1"/>
  <c r="M325" i="5"/>
  <c r="B325" i="13" s="1"/>
  <c r="M324" i="5"/>
  <c r="B324" i="13" s="1"/>
  <c r="M317" i="5"/>
  <c r="B317" i="13" s="1"/>
  <c r="M316" i="5"/>
  <c r="B316" i="13" s="1"/>
  <c r="M309" i="5"/>
  <c r="B309" i="13" s="1"/>
  <c r="M308" i="5"/>
  <c r="B308" i="13" s="1"/>
  <c r="M301" i="5"/>
  <c r="B301" i="13" s="1"/>
  <c r="M300" i="5"/>
  <c r="B300" i="13" s="1"/>
  <c r="M293" i="5"/>
  <c r="B293" i="13" s="1"/>
  <c r="M292" i="5"/>
  <c r="B292" i="13" s="1"/>
  <c r="M285" i="5"/>
  <c r="B285" i="13" s="1"/>
  <c r="M284" i="5"/>
  <c r="B284" i="13" s="1"/>
  <c r="M987" i="5"/>
  <c r="M963" i="5"/>
  <c r="M939" i="5"/>
  <c r="M915" i="5"/>
  <c r="M891" i="5"/>
  <c r="M867" i="5"/>
  <c r="M843" i="5"/>
  <c r="M827" i="5"/>
  <c r="M811" i="5"/>
  <c r="M795" i="5"/>
  <c r="M529" i="5"/>
  <c r="M979" i="5"/>
  <c r="M955" i="5"/>
  <c r="M931" i="5"/>
  <c r="M907" i="5"/>
  <c r="M883" i="5"/>
  <c r="M851" i="5"/>
  <c r="M787" i="5"/>
  <c r="M995" i="5"/>
  <c r="M971" i="5"/>
  <c r="M947" i="5"/>
  <c r="M923" i="5"/>
  <c r="M899" i="5"/>
  <c r="M875" i="5"/>
  <c r="M859" i="5"/>
  <c r="M835" i="5"/>
  <c r="M819" i="5"/>
  <c r="M803" i="5"/>
  <c r="M994" i="5"/>
  <c r="M986" i="5"/>
  <c r="M978" i="5"/>
  <c r="M970" i="5"/>
  <c r="M962" i="5"/>
  <c r="M954" i="5"/>
  <c r="M946" i="5"/>
  <c r="M938" i="5"/>
  <c r="M930" i="5"/>
  <c r="M922" i="5"/>
  <c r="M914" i="5"/>
  <c r="M906" i="5"/>
  <c r="M898" i="5"/>
  <c r="M890" i="5"/>
  <c r="M882" i="5"/>
  <c r="M874" i="5"/>
  <c r="M866" i="5"/>
  <c r="M858" i="5"/>
  <c r="M850" i="5"/>
  <c r="M842" i="5"/>
  <c r="M834" i="5"/>
  <c r="M826" i="5"/>
  <c r="M818" i="5"/>
  <c r="M810" i="5"/>
  <c r="M802" i="5"/>
  <c r="M794" i="5"/>
  <c r="M786" i="5"/>
  <c r="M778" i="5"/>
  <c r="M770" i="5"/>
  <c r="M762" i="5"/>
  <c r="M754" i="5"/>
  <c r="M746" i="5"/>
  <c r="M738" i="5"/>
  <c r="M730" i="5"/>
  <c r="M722" i="5"/>
  <c r="M714" i="5"/>
  <c r="M706" i="5"/>
  <c r="M698" i="5"/>
  <c r="M690" i="5"/>
  <c r="M682" i="5"/>
  <c r="M674" i="5"/>
  <c r="M666" i="5"/>
  <c r="M658" i="5"/>
  <c r="M650" i="5"/>
  <c r="M642" i="5"/>
  <c r="M634" i="5"/>
  <c r="M626" i="5"/>
  <c r="M618" i="5"/>
  <c r="M610" i="5"/>
  <c r="M602" i="5"/>
  <c r="M594" i="5"/>
  <c r="M586" i="5"/>
  <c r="M578" i="5"/>
  <c r="M570" i="5"/>
  <c r="M562" i="5"/>
  <c r="M554" i="5"/>
  <c r="M546" i="5"/>
  <c r="M538" i="5"/>
  <c r="M530" i="5"/>
  <c r="M522" i="5"/>
  <c r="M514" i="5"/>
  <c r="M506" i="5"/>
  <c r="M498" i="5"/>
  <c r="M490" i="5"/>
  <c r="M482" i="5"/>
  <c r="M474" i="5"/>
  <c r="M466" i="5"/>
  <c r="M458" i="5"/>
  <c r="M450" i="5"/>
  <c r="M442" i="5"/>
  <c r="M434" i="5"/>
  <c r="M426" i="5"/>
  <c r="M418" i="5"/>
  <c r="M993" i="5"/>
  <c r="M985" i="5"/>
  <c r="M977" i="5"/>
  <c r="M969" i="5"/>
  <c r="M961" i="5"/>
  <c r="M953" i="5"/>
  <c r="M945" i="5"/>
  <c r="M937" i="5"/>
  <c r="M929" i="5"/>
  <c r="M921" i="5"/>
  <c r="M913" i="5"/>
  <c r="M905" i="5"/>
  <c r="M897" i="5"/>
  <c r="M889" i="5"/>
  <c r="M881" i="5"/>
  <c r="M873" i="5"/>
  <c r="M865" i="5"/>
  <c r="M857" i="5"/>
  <c r="M849" i="5"/>
  <c r="M841" i="5"/>
  <c r="M833" i="5"/>
  <c r="M825" i="5"/>
  <c r="M817" i="5"/>
  <c r="M809" i="5"/>
  <c r="M801" i="5"/>
  <c r="M793" i="5"/>
  <c r="M785" i="5"/>
  <c r="M777" i="5"/>
  <c r="M769" i="5"/>
  <c r="M761" i="5"/>
  <c r="M753" i="5"/>
  <c r="M745" i="5"/>
  <c r="M737" i="5"/>
  <c r="M729" i="5"/>
  <c r="M721" i="5"/>
  <c r="M713" i="5"/>
  <c r="M705" i="5"/>
  <c r="M697" i="5"/>
  <c r="M689" i="5"/>
  <c r="M681" i="5"/>
  <c r="M673" i="5"/>
  <c r="M665" i="5"/>
  <c r="M657" i="5"/>
  <c r="M649" i="5"/>
  <c r="M641" i="5"/>
  <c r="M633" i="5"/>
  <c r="M625" i="5"/>
  <c r="M617" i="5"/>
  <c r="M609" i="5"/>
  <c r="M601" i="5"/>
  <c r="M593" i="5"/>
  <c r="M585" i="5"/>
  <c r="M577" i="5"/>
  <c r="M569" i="5"/>
  <c r="M561" i="5"/>
  <c r="M553" i="5"/>
  <c r="M545" i="5"/>
  <c r="M537" i="5"/>
  <c r="M521" i="5"/>
  <c r="M385" i="5"/>
  <c r="M369" i="5"/>
  <c r="M353" i="5"/>
  <c r="B353" i="13" s="1"/>
  <c r="M337" i="5"/>
  <c r="B337" i="13" s="1"/>
  <c r="M321" i="5"/>
  <c r="B321" i="13" s="1"/>
  <c r="M289" i="5"/>
  <c r="B289" i="13" s="1"/>
  <c r="M984" i="5"/>
  <c r="M968" i="5"/>
  <c r="M952" i="5"/>
  <c r="M936" i="5"/>
  <c r="M920" i="5"/>
  <c r="M904" i="5"/>
  <c r="M888" i="5"/>
  <c r="M864" i="5"/>
  <c r="M848" i="5"/>
  <c r="M824" i="5"/>
  <c r="M808" i="5"/>
  <c r="M792" i="5"/>
  <c r="M776" i="5"/>
  <c r="M760" i="5"/>
  <c r="M744" i="5"/>
  <c r="M728" i="5"/>
  <c r="M712" i="5"/>
  <c r="M696" i="5"/>
  <c r="M672" i="5"/>
  <c r="M656" i="5"/>
  <c r="M640" i="5"/>
  <c r="M624" i="5"/>
  <c r="M608" i="5"/>
  <c r="M584" i="5"/>
  <c r="M568" i="5"/>
  <c r="M552" i="5"/>
  <c r="M536" i="5"/>
  <c r="M520" i="5"/>
  <c r="M504" i="5"/>
  <c r="M488" i="5"/>
  <c r="M472" i="5"/>
  <c r="M456" i="5"/>
  <c r="M440" i="5"/>
  <c r="M424" i="5"/>
  <c r="M408" i="5"/>
  <c r="M392" i="5"/>
  <c r="M376" i="5"/>
  <c r="M352" i="5"/>
  <c r="B352" i="13" s="1"/>
  <c r="M328" i="5"/>
  <c r="B328" i="13" s="1"/>
  <c r="M288" i="5"/>
  <c r="B288" i="13" s="1"/>
  <c r="M513" i="5"/>
  <c r="M505" i="5"/>
  <c r="M497" i="5"/>
  <c r="M489" i="5"/>
  <c r="M481" i="5"/>
  <c r="M473" i="5"/>
  <c r="M465" i="5"/>
  <c r="M457" i="5"/>
  <c r="M449" i="5"/>
  <c r="M441" i="5"/>
  <c r="M433" i="5"/>
  <c r="M425" i="5"/>
  <c r="M417" i="5"/>
  <c r="M409" i="5"/>
  <c r="M401" i="5"/>
  <c r="M393" i="5"/>
  <c r="M377" i="5"/>
  <c r="M361" i="5"/>
  <c r="B361" i="13" s="1"/>
  <c r="M345" i="5"/>
  <c r="B345" i="13" s="1"/>
  <c r="M329" i="5"/>
  <c r="B329" i="13" s="1"/>
  <c r="M313" i="5"/>
  <c r="B313" i="13" s="1"/>
  <c r="M305" i="5"/>
  <c r="B305" i="13" s="1"/>
  <c r="M297" i="5"/>
  <c r="B297" i="13" s="1"/>
  <c r="M263" i="5"/>
  <c r="B263" i="13" s="1"/>
  <c r="M1000" i="5"/>
  <c r="M992" i="5"/>
  <c r="M976" i="5"/>
  <c r="M960" i="5"/>
  <c r="M944" i="5"/>
  <c r="M928" i="5"/>
  <c r="M912" i="5"/>
  <c r="M896" i="5"/>
  <c r="M880" i="5"/>
  <c r="M872" i="5"/>
  <c r="M856" i="5"/>
  <c r="M840" i="5"/>
  <c r="M832" i="5"/>
  <c r="M816" i="5"/>
  <c r="M800" i="5"/>
  <c r="M784" i="5"/>
  <c r="M768" i="5"/>
  <c r="M752" i="5"/>
  <c r="M736" i="5"/>
  <c r="M720" i="5"/>
  <c r="M704" i="5"/>
  <c r="M688" i="5"/>
  <c r="M680" i="5"/>
  <c r="M664" i="5"/>
  <c r="M648" i="5"/>
  <c r="M632" i="5"/>
  <c r="M616" i="5"/>
  <c r="M600" i="5"/>
  <c r="M592" i="5"/>
  <c r="M576" i="5"/>
  <c r="M560" i="5"/>
  <c r="M544" i="5"/>
  <c r="M528" i="5"/>
  <c r="M512" i="5"/>
  <c r="M496" i="5"/>
  <c r="M480" i="5"/>
  <c r="M464" i="5"/>
  <c r="M448" i="5"/>
  <c r="M432" i="5"/>
  <c r="M416" i="5"/>
  <c r="M400" i="5"/>
  <c r="M384" i="5"/>
  <c r="M368" i="5"/>
  <c r="M360" i="5"/>
  <c r="B360" i="13" s="1"/>
  <c r="M344" i="5"/>
  <c r="B344" i="13" s="1"/>
  <c r="M336" i="5"/>
  <c r="B336" i="13" s="1"/>
  <c r="M320" i="5"/>
  <c r="B320" i="13" s="1"/>
  <c r="M312" i="5"/>
  <c r="B312" i="13" s="1"/>
  <c r="M304" i="5"/>
  <c r="B304" i="13" s="1"/>
  <c r="M296" i="5"/>
  <c r="B296" i="13" s="1"/>
  <c r="M280" i="5"/>
  <c r="B280" i="13" s="1"/>
  <c r="M999" i="5"/>
  <c r="M991" i="5"/>
  <c r="M983" i="5"/>
  <c r="M975" i="5"/>
  <c r="M967" i="5"/>
  <c r="M959" i="5"/>
  <c r="M951" i="5"/>
  <c r="M943" i="5"/>
  <c r="M935" i="5"/>
  <c r="M927" i="5"/>
  <c r="M919" i="5"/>
  <c r="M911" i="5"/>
  <c r="M903" i="5"/>
  <c r="M895" i="5"/>
  <c r="M887" i="5"/>
  <c r="M879" i="5"/>
  <c r="M871" i="5"/>
  <c r="M863" i="5"/>
  <c r="M855" i="5"/>
  <c r="M847" i="5"/>
  <c r="M839" i="5"/>
  <c r="M831" i="5"/>
  <c r="M823" i="5"/>
  <c r="M815" i="5"/>
  <c r="M807" i="5"/>
  <c r="M799" i="5"/>
  <c r="M791" i="5"/>
  <c r="M783" i="5"/>
  <c r="M775" i="5"/>
  <c r="M767" i="5"/>
  <c r="M759" i="5"/>
  <c r="M751" i="5"/>
  <c r="M743" i="5"/>
  <c r="M735" i="5"/>
  <c r="M727" i="5"/>
  <c r="M719" i="5"/>
  <c r="M711" i="5"/>
  <c r="M703" i="5"/>
  <c r="M695" i="5"/>
  <c r="M687" i="5"/>
  <c r="M679" i="5"/>
  <c r="M671" i="5"/>
  <c r="M663" i="5"/>
  <c r="M655" i="5"/>
  <c r="M647" i="5"/>
  <c r="M639" i="5"/>
  <c r="M631" i="5"/>
  <c r="M623" i="5"/>
  <c r="M615" i="5"/>
  <c r="M607" i="5"/>
  <c r="M599" i="5"/>
  <c r="M591" i="5"/>
  <c r="M583" i="5"/>
  <c r="M575" i="5"/>
  <c r="M567" i="5"/>
  <c r="M559" i="5"/>
  <c r="M551" i="5"/>
  <c r="M543" i="5"/>
  <c r="M535" i="5"/>
  <c r="M527" i="5"/>
  <c r="M519" i="5"/>
  <c r="M511" i="5"/>
  <c r="M503" i="5"/>
  <c r="M495" i="5"/>
  <c r="M487" i="5"/>
  <c r="M479" i="5"/>
  <c r="M471" i="5"/>
  <c r="M463" i="5"/>
  <c r="M455" i="5"/>
  <c r="M447" i="5"/>
  <c r="M439" i="5"/>
  <c r="M431" i="5"/>
  <c r="M423" i="5"/>
  <c r="M415" i="5"/>
  <c r="M407" i="5"/>
  <c r="M399" i="5"/>
  <c r="M391" i="5"/>
  <c r="M383" i="5"/>
  <c r="M375" i="5"/>
  <c r="M367" i="5"/>
  <c r="M359" i="5"/>
  <c r="B359" i="13" s="1"/>
  <c r="M351" i="5"/>
  <c r="B351" i="13" s="1"/>
  <c r="M343" i="5"/>
  <c r="B343" i="13" s="1"/>
  <c r="M335" i="5"/>
  <c r="B335" i="13" s="1"/>
  <c r="M327" i="5"/>
  <c r="B327" i="13" s="1"/>
  <c r="M319" i="5"/>
  <c r="B319" i="13" s="1"/>
  <c r="M311" i="5"/>
  <c r="B311" i="13" s="1"/>
  <c r="M303" i="5"/>
  <c r="B303" i="13" s="1"/>
  <c r="M295" i="5"/>
  <c r="B295" i="13" s="1"/>
  <c r="M287" i="5"/>
  <c r="B287" i="13" s="1"/>
  <c r="M998" i="5"/>
  <c r="M990" i="5"/>
  <c r="M982" i="5"/>
  <c r="M974" i="5"/>
  <c r="M966" i="5"/>
  <c r="M958" i="5"/>
  <c r="M950" i="5"/>
  <c r="M942" i="5"/>
  <c r="M934" i="5"/>
  <c r="M926" i="5"/>
  <c r="M918" i="5"/>
  <c r="M910" i="5"/>
  <c r="M902" i="5"/>
  <c r="M894" i="5"/>
  <c r="M886" i="5"/>
  <c r="M878" i="5"/>
  <c r="M870" i="5"/>
  <c r="M862" i="5"/>
  <c r="M854" i="5"/>
  <c r="M846" i="5"/>
  <c r="M838" i="5"/>
  <c r="M830" i="5"/>
  <c r="M822" i="5"/>
  <c r="M814" i="5"/>
  <c r="M806" i="5"/>
  <c r="M798" i="5"/>
  <c r="M790" i="5"/>
  <c r="M782" i="5"/>
  <c r="M774" i="5"/>
  <c r="M766" i="5"/>
  <c r="M758" i="5"/>
  <c r="M750" i="5"/>
  <c r="M742" i="5"/>
  <c r="M734" i="5"/>
  <c r="M726" i="5"/>
  <c r="M718" i="5"/>
  <c r="M710" i="5"/>
  <c r="M702" i="5"/>
  <c r="M694" i="5"/>
  <c r="M686" i="5"/>
  <c r="M678" i="5"/>
  <c r="M670" i="5"/>
  <c r="M662" i="5"/>
  <c r="M654" i="5"/>
  <c r="M646" i="5"/>
  <c r="M638" i="5"/>
  <c r="M630" i="5"/>
  <c r="M622" i="5"/>
  <c r="M614" i="5"/>
  <c r="M606" i="5"/>
  <c r="M598" i="5"/>
  <c r="M590" i="5"/>
  <c r="M582" i="5"/>
  <c r="M574" i="5"/>
  <c r="M566" i="5"/>
  <c r="M558" i="5"/>
  <c r="M550" i="5"/>
  <c r="M542" i="5"/>
  <c r="M534" i="5"/>
  <c r="M526" i="5"/>
  <c r="M518" i="5"/>
  <c r="M510" i="5"/>
  <c r="M502" i="5"/>
  <c r="M494" i="5"/>
  <c r="M486" i="5"/>
  <c r="M478" i="5"/>
  <c r="M470" i="5"/>
  <c r="M462" i="5"/>
  <c r="M454" i="5"/>
  <c r="M446" i="5"/>
  <c r="M438" i="5"/>
  <c r="M430" i="5"/>
  <c r="M422" i="5"/>
  <c r="M414" i="5"/>
  <c r="M406" i="5"/>
  <c r="M398" i="5"/>
  <c r="M390" i="5"/>
  <c r="M382" i="5"/>
  <c r="M374" i="5"/>
  <c r="M366" i="5"/>
  <c r="M358" i="5"/>
  <c r="B358" i="13" s="1"/>
  <c r="M350" i="5"/>
  <c r="B350" i="13" s="1"/>
  <c r="M342" i="5"/>
  <c r="B342" i="13" s="1"/>
  <c r="M334" i="5"/>
  <c r="B334" i="13" s="1"/>
  <c r="M326" i="5"/>
  <c r="B326" i="13" s="1"/>
  <c r="M318" i="5"/>
  <c r="B318" i="13" s="1"/>
  <c r="M310" i="5"/>
  <c r="B310" i="13" s="1"/>
  <c r="M302" i="5"/>
  <c r="B302" i="13" s="1"/>
  <c r="M294" i="5"/>
  <c r="B294" i="13" s="1"/>
  <c r="M286" i="5"/>
  <c r="B286" i="13" s="1"/>
  <c r="M779" i="5"/>
  <c r="M771" i="5"/>
  <c r="M763" i="5"/>
  <c r="M755" i="5"/>
  <c r="M747" i="5"/>
  <c r="M739" i="5"/>
  <c r="M731" i="5"/>
  <c r="M723" i="5"/>
  <c r="M715" i="5"/>
  <c r="M707" i="5"/>
  <c r="M699" i="5"/>
  <c r="M691" i="5"/>
  <c r="M683" i="5"/>
  <c r="M675" i="5"/>
  <c r="M667" i="5"/>
  <c r="M659" i="5"/>
  <c r="M651" i="5"/>
  <c r="M643" i="5"/>
  <c r="M635" i="5"/>
  <c r="M627" i="5"/>
  <c r="M619" i="5"/>
  <c r="M611" i="5"/>
  <c r="M603" i="5"/>
  <c r="M595" i="5"/>
  <c r="M587" i="5"/>
  <c r="M579" i="5"/>
  <c r="M571" i="5"/>
  <c r="M563" i="5"/>
  <c r="M555" i="5"/>
  <c r="M547" i="5"/>
  <c r="M539" i="5"/>
  <c r="M531" i="5"/>
  <c r="M523" i="5"/>
  <c r="M515" i="5"/>
  <c r="M507" i="5"/>
  <c r="M499" i="5"/>
  <c r="M491" i="5"/>
  <c r="M483" i="5"/>
  <c r="M475" i="5"/>
  <c r="M467" i="5"/>
  <c r="M459" i="5"/>
  <c r="M451" i="5"/>
  <c r="M443" i="5"/>
  <c r="M435" i="5"/>
  <c r="M427" i="5"/>
  <c r="M419" i="5"/>
  <c r="M411" i="5"/>
  <c r="M403" i="5"/>
  <c r="M395" i="5"/>
  <c r="M387" i="5"/>
  <c r="M379" i="5"/>
  <c r="M371" i="5"/>
  <c r="M363" i="5"/>
  <c r="B363" i="13" s="1"/>
  <c r="M355" i="5"/>
  <c r="B355" i="13" s="1"/>
  <c r="M347" i="5"/>
  <c r="B347" i="13" s="1"/>
  <c r="M339" i="5"/>
  <c r="B339" i="13" s="1"/>
  <c r="M331" i="5"/>
  <c r="B331" i="13" s="1"/>
  <c r="M323" i="5"/>
  <c r="B323" i="13" s="1"/>
  <c r="M315" i="5"/>
  <c r="B315" i="13" s="1"/>
  <c r="M307" i="5"/>
  <c r="B307" i="13" s="1"/>
  <c r="M299" i="5"/>
  <c r="B299" i="13" s="1"/>
  <c r="M291" i="5"/>
  <c r="B291" i="13" s="1"/>
  <c r="M283" i="5"/>
  <c r="B283" i="13" s="1"/>
  <c r="M410" i="5"/>
  <c r="M402" i="5"/>
  <c r="M394" i="5"/>
  <c r="M386" i="5"/>
  <c r="M378" i="5"/>
  <c r="M370" i="5"/>
  <c r="M362" i="5"/>
  <c r="B362" i="13" s="1"/>
  <c r="M354" i="5"/>
  <c r="B354" i="13" s="1"/>
  <c r="M346" i="5"/>
  <c r="B346" i="13" s="1"/>
  <c r="M338" i="5"/>
  <c r="B338" i="13" s="1"/>
  <c r="M330" i="5"/>
  <c r="B330" i="13" s="1"/>
  <c r="M322" i="5"/>
  <c r="B322" i="13" s="1"/>
  <c r="M314" i="5"/>
  <c r="B314" i="13" s="1"/>
  <c r="M306" i="5"/>
  <c r="B306" i="13" s="1"/>
  <c r="M298" i="5"/>
  <c r="B298" i="13" s="1"/>
  <c r="M290" i="5"/>
  <c r="B290" i="13" s="1"/>
  <c r="M282" i="5"/>
  <c r="B282" i="13" s="1"/>
  <c r="M255" i="5"/>
  <c r="B255" i="13" s="1"/>
  <c r="M271" i="5"/>
  <c r="B271" i="13" s="1"/>
  <c r="M279" i="5"/>
  <c r="B279" i="13" s="1"/>
  <c r="M130" i="5"/>
  <c r="B130" i="13" s="1"/>
  <c r="M129" i="5"/>
  <c r="B129" i="13" s="1"/>
  <c r="M210" i="5"/>
  <c r="B210" i="13" s="1"/>
  <c r="M223" i="5"/>
  <c r="B223" i="13" s="1"/>
  <c r="M207" i="5"/>
  <c r="B207" i="13" s="1"/>
  <c r="M175" i="5"/>
  <c r="B175" i="13" s="1"/>
  <c r="M9" i="5"/>
  <c r="B9" i="13" s="1"/>
  <c r="M17" i="5"/>
  <c r="B17" i="13" s="1"/>
  <c r="M33" i="5"/>
  <c r="B33" i="13" s="1"/>
  <c r="M41" i="5"/>
  <c r="B41" i="13" s="1"/>
  <c r="M49" i="5"/>
  <c r="B49" i="13" s="1"/>
  <c r="M57" i="5"/>
  <c r="B57" i="13" s="1"/>
  <c r="M73" i="5"/>
  <c r="B73" i="13" s="1"/>
  <c r="M81" i="5"/>
  <c r="B81" i="13" s="1"/>
  <c r="M89" i="5"/>
  <c r="B89" i="13" s="1"/>
  <c r="M97" i="5"/>
  <c r="B97" i="13" s="1"/>
  <c r="M105" i="5"/>
  <c r="B105" i="13" s="1"/>
  <c r="M113" i="5"/>
  <c r="B113" i="13" s="1"/>
  <c r="M121" i="5"/>
  <c r="B121" i="13" s="1"/>
  <c r="M137" i="5"/>
  <c r="B137" i="13" s="1"/>
  <c r="M153" i="5"/>
  <c r="B153" i="13" s="1"/>
  <c r="M161" i="5"/>
  <c r="B161" i="13" s="1"/>
  <c r="M169" i="5"/>
  <c r="B169" i="13" s="1"/>
  <c r="M177" i="5"/>
  <c r="B177" i="13" s="1"/>
  <c r="M185" i="5"/>
  <c r="B185" i="13" s="1"/>
  <c r="M201" i="5"/>
  <c r="B201" i="13" s="1"/>
  <c r="M209" i="5"/>
  <c r="B209" i="13" s="1"/>
  <c r="M217" i="5"/>
  <c r="B217" i="13" s="1"/>
  <c r="M16" i="5"/>
  <c r="B16" i="13" s="1"/>
  <c r="M40" i="5"/>
  <c r="B40" i="13" s="1"/>
  <c r="M88" i="5"/>
  <c r="B88" i="13" s="1"/>
  <c r="M112" i="5"/>
  <c r="B112" i="13" s="1"/>
  <c r="M160" i="5"/>
  <c r="B160" i="13" s="1"/>
  <c r="M176" i="5"/>
  <c r="B176" i="13" s="1"/>
  <c r="M224" i="5"/>
  <c r="B224" i="13" s="1"/>
  <c r="M256" i="5"/>
  <c r="B256" i="13" s="1"/>
  <c r="M272" i="5"/>
  <c r="B272" i="13" s="1"/>
  <c r="M270" i="5"/>
  <c r="B270" i="13" s="1"/>
  <c r="M254" i="5"/>
  <c r="B254" i="13" s="1"/>
  <c r="M238" i="5"/>
  <c r="B238" i="13" s="1"/>
  <c r="M222" i="5"/>
  <c r="B222" i="13" s="1"/>
  <c r="M214" i="5"/>
  <c r="B214" i="13" s="1"/>
  <c r="M198" i="5"/>
  <c r="B198" i="13" s="1"/>
  <c r="M182" i="5"/>
  <c r="B182" i="13" s="1"/>
  <c r="M166" i="5"/>
  <c r="B166" i="13" s="1"/>
  <c r="M150" i="5"/>
  <c r="B150" i="13" s="1"/>
  <c r="M134" i="5"/>
  <c r="B134" i="13" s="1"/>
  <c r="M118" i="5"/>
  <c r="B118" i="13" s="1"/>
  <c r="M110" i="5"/>
  <c r="B110" i="13" s="1"/>
  <c r="M94" i="5"/>
  <c r="B94" i="13" s="1"/>
  <c r="M78" i="5"/>
  <c r="B78" i="13" s="1"/>
  <c r="M62" i="5"/>
  <c r="B62" i="13" s="1"/>
  <c r="M46" i="5"/>
  <c r="B46" i="13" s="1"/>
  <c r="M30" i="5"/>
  <c r="B30" i="13" s="1"/>
  <c r="M14" i="5"/>
  <c r="B14" i="13" s="1"/>
  <c r="M250" i="5"/>
  <c r="B250" i="13" s="1"/>
  <c r="M234" i="5"/>
  <c r="B234" i="13" s="1"/>
  <c r="M186" i="5"/>
  <c r="B186" i="13" s="1"/>
  <c r="M162" i="5"/>
  <c r="B162" i="13" s="1"/>
  <c r="M138" i="5"/>
  <c r="B138" i="13" s="1"/>
  <c r="M106" i="5"/>
  <c r="B106" i="13" s="1"/>
  <c r="M82" i="5"/>
  <c r="B82" i="13" s="1"/>
  <c r="M58" i="5"/>
  <c r="B58" i="13" s="1"/>
  <c r="M18" i="5"/>
  <c r="B18" i="13" s="1"/>
  <c r="M274" i="5"/>
  <c r="B274" i="13" s="1"/>
  <c r="M266" i="5"/>
  <c r="B266" i="13" s="1"/>
  <c r="M258" i="5"/>
  <c r="B258" i="13" s="1"/>
  <c r="M226" i="5"/>
  <c r="B226" i="13" s="1"/>
  <c r="M194" i="5"/>
  <c r="B194" i="13" s="1"/>
  <c r="M178" i="5"/>
  <c r="B178" i="13" s="1"/>
  <c r="M146" i="5"/>
  <c r="B146" i="13" s="1"/>
  <c r="M66" i="5"/>
  <c r="B66" i="13" s="1"/>
  <c r="M42" i="5"/>
  <c r="B42" i="13" s="1"/>
  <c r="M143" i="5"/>
  <c r="B143" i="13" s="1"/>
  <c r="M24" i="5"/>
  <c r="B24" i="13" s="1"/>
  <c r="M48" i="5"/>
  <c r="B48" i="13" s="1"/>
  <c r="M56" i="5"/>
  <c r="B56" i="13" s="1"/>
  <c r="M64" i="5"/>
  <c r="B64" i="13" s="1"/>
  <c r="M80" i="5"/>
  <c r="B80" i="13" s="1"/>
  <c r="M104" i="5"/>
  <c r="B104" i="13" s="1"/>
  <c r="M120" i="5"/>
  <c r="B120" i="13" s="1"/>
  <c r="M128" i="5"/>
  <c r="B128" i="13" s="1"/>
  <c r="M144" i="5"/>
  <c r="B144" i="13" s="1"/>
  <c r="M192" i="5"/>
  <c r="B192" i="13" s="1"/>
  <c r="M208" i="5"/>
  <c r="B208" i="13" s="1"/>
  <c r="M240" i="5"/>
  <c r="B240" i="13" s="1"/>
  <c r="M264" i="5"/>
  <c r="B264" i="13" s="1"/>
  <c r="M278" i="5"/>
  <c r="B278" i="13" s="1"/>
  <c r="M262" i="5"/>
  <c r="B262" i="13" s="1"/>
  <c r="M246" i="5"/>
  <c r="B246" i="13" s="1"/>
  <c r="M230" i="5"/>
  <c r="B230" i="13" s="1"/>
  <c r="M206" i="5"/>
  <c r="B206" i="13" s="1"/>
  <c r="M190" i="5"/>
  <c r="B190" i="13" s="1"/>
  <c r="M174" i="5"/>
  <c r="B174" i="13" s="1"/>
  <c r="M158" i="5"/>
  <c r="B158" i="13" s="1"/>
  <c r="M142" i="5"/>
  <c r="B142" i="13" s="1"/>
  <c r="M126" i="5"/>
  <c r="B126" i="13" s="1"/>
  <c r="M102" i="5"/>
  <c r="B102" i="13" s="1"/>
  <c r="M86" i="5"/>
  <c r="B86" i="13" s="1"/>
  <c r="M70" i="5"/>
  <c r="B70" i="13" s="1"/>
  <c r="M54" i="5"/>
  <c r="B54" i="13" s="1"/>
  <c r="M38" i="5"/>
  <c r="B38" i="13" s="1"/>
  <c r="M22" i="5"/>
  <c r="B22" i="13" s="1"/>
  <c r="M242" i="5"/>
  <c r="B242" i="13" s="1"/>
  <c r="M218" i="5"/>
  <c r="B218" i="13" s="1"/>
  <c r="M202" i="5"/>
  <c r="B202" i="13" s="1"/>
  <c r="M170" i="5"/>
  <c r="B170" i="13" s="1"/>
  <c r="M154" i="5"/>
  <c r="B154" i="13" s="1"/>
  <c r="M122" i="5"/>
  <c r="B122" i="13" s="1"/>
  <c r="M98" i="5"/>
  <c r="B98" i="13" s="1"/>
  <c r="M74" i="5"/>
  <c r="B74" i="13" s="1"/>
  <c r="M34" i="5"/>
  <c r="B34" i="13" s="1"/>
  <c r="M10" i="5"/>
  <c r="B10" i="13" s="1"/>
  <c r="M275" i="5"/>
  <c r="B275" i="13" s="1"/>
  <c r="M267" i="5"/>
  <c r="B267" i="13" s="1"/>
  <c r="M259" i="5"/>
  <c r="B259" i="13" s="1"/>
  <c r="M159" i="5"/>
  <c r="B159" i="13" s="1"/>
  <c r="M191" i="5"/>
  <c r="B191" i="13" s="1"/>
  <c r="M239" i="5"/>
  <c r="B239" i="13" s="1"/>
  <c r="M281" i="5"/>
  <c r="B281" i="13" s="1"/>
  <c r="M273" i="5"/>
  <c r="B273" i="13" s="1"/>
  <c r="M265" i="5"/>
  <c r="B265" i="13" s="1"/>
  <c r="M257" i="5"/>
  <c r="B257" i="13" s="1"/>
  <c r="M225" i="5"/>
  <c r="B225" i="13" s="1"/>
  <c r="M193" i="5"/>
  <c r="B193" i="13" s="1"/>
  <c r="M145" i="5"/>
  <c r="B145" i="13" s="1"/>
  <c r="M65" i="5"/>
  <c r="B65" i="13" s="1"/>
  <c r="M25" i="5"/>
  <c r="B25" i="13" s="1"/>
  <c r="M277" i="5"/>
  <c r="B277" i="13" s="1"/>
  <c r="M269" i="5"/>
  <c r="B269" i="13" s="1"/>
  <c r="M261" i="5"/>
  <c r="B261" i="13" s="1"/>
  <c r="M276" i="5"/>
  <c r="B276" i="13" s="1"/>
  <c r="M268" i="5"/>
  <c r="B268" i="13" s="1"/>
  <c r="M260" i="5"/>
  <c r="B260" i="13" s="1"/>
  <c r="M8" i="5"/>
  <c r="B8" i="13" s="1"/>
  <c r="M26" i="5"/>
  <c r="B26" i="13" s="1"/>
  <c r="M32" i="5"/>
  <c r="B32" i="13" s="1"/>
  <c r="M50" i="5"/>
  <c r="B50" i="13" s="1"/>
  <c r="M72" i="5"/>
  <c r="B72" i="13" s="1"/>
  <c r="M90" i="5"/>
  <c r="B90" i="13" s="1"/>
  <c r="M96" i="5"/>
  <c r="B96" i="13" s="1"/>
  <c r="M114" i="5"/>
  <c r="B114" i="13" s="1"/>
  <c r="M136" i="5"/>
  <c r="B136" i="13" s="1"/>
  <c r="M152" i="5"/>
  <c r="B152" i="13" s="1"/>
  <c r="M168" i="5"/>
  <c r="B168" i="13" s="1"/>
  <c r="M184" i="5"/>
  <c r="B184" i="13" s="1"/>
  <c r="M200" i="5"/>
  <c r="B200" i="13" s="1"/>
  <c r="M216" i="5"/>
  <c r="B216" i="13" s="1"/>
  <c r="M232" i="5"/>
  <c r="B232" i="13" s="1"/>
  <c r="M248" i="5"/>
  <c r="B248" i="13" s="1"/>
  <c r="M247" i="5"/>
  <c r="B247" i="13" s="1"/>
  <c r="M231" i="5"/>
  <c r="B231" i="13" s="1"/>
  <c r="M215" i="5"/>
  <c r="B215" i="13" s="1"/>
  <c r="M199" i="5"/>
  <c r="B199" i="13" s="1"/>
  <c r="M183" i="5"/>
  <c r="B183" i="13" s="1"/>
  <c r="M167" i="5"/>
  <c r="B167" i="13" s="1"/>
  <c r="M151" i="5"/>
  <c r="B151" i="13" s="1"/>
  <c r="M135" i="5"/>
  <c r="B135" i="13" s="1"/>
  <c r="M127" i="5"/>
  <c r="B127" i="13" s="1"/>
  <c r="M119" i="5"/>
  <c r="B119" i="13" s="1"/>
  <c r="M111" i="5"/>
  <c r="B111" i="13" s="1"/>
  <c r="M103" i="5"/>
  <c r="B103" i="13" s="1"/>
  <c r="M95" i="5"/>
  <c r="B95" i="13" s="1"/>
  <c r="M87" i="5"/>
  <c r="B87" i="13" s="1"/>
  <c r="M79" i="5"/>
  <c r="B79" i="13" s="1"/>
  <c r="M71" i="5"/>
  <c r="B71" i="13" s="1"/>
  <c r="M63" i="5"/>
  <c r="B63" i="13" s="1"/>
  <c r="M55" i="5"/>
  <c r="B55" i="13" s="1"/>
  <c r="M47" i="5"/>
  <c r="B47" i="13" s="1"/>
  <c r="M39" i="5"/>
  <c r="B39" i="13" s="1"/>
  <c r="M31" i="5"/>
  <c r="B31" i="13" s="1"/>
  <c r="M23" i="5"/>
  <c r="B23" i="13" s="1"/>
  <c r="M15" i="5"/>
  <c r="B15" i="13" s="1"/>
  <c r="M7" i="5"/>
  <c r="B7" i="13" s="1"/>
  <c r="M245" i="5"/>
  <c r="B245" i="13" s="1"/>
  <c r="M229" i="5"/>
  <c r="B229" i="13" s="1"/>
  <c r="M213" i="5"/>
  <c r="B213" i="13" s="1"/>
  <c r="M197" i="5"/>
  <c r="B197" i="13" s="1"/>
  <c r="M181" i="5"/>
  <c r="B181" i="13" s="1"/>
  <c r="M165" i="5"/>
  <c r="B165" i="13" s="1"/>
  <c r="M149" i="5"/>
  <c r="B149" i="13" s="1"/>
  <c r="M133" i="5"/>
  <c r="B133" i="13" s="1"/>
  <c r="M117" i="5"/>
  <c r="B117" i="13" s="1"/>
  <c r="M101" i="5"/>
  <c r="B101" i="13" s="1"/>
  <c r="M85" i="5"/>
  <c r="B85" i="13" s="1"/>
  <c r="M69" i="5"/>
  <c r="B69" i="13" s="1"/>
  <c r="M53" i="5"/>
  <c r="B53" i="13" s="1"/>
  <c r="M37" i="5"/>
  <c r="B37" i="13" s="1"/>
  <c r="M21" i="5"/>
  <c r="B21" i="13" s="1"/>
  <c r="M252" i="5"/>
  <c r="B252" i="13" s="1"/>
  <c r="M236" i="5"/>
  <c r="B236" i="13" s="1"/>
  <c r="M220" i="5"/>
  <c r="B220" i="13" s="1"/>
  <c r="M196" i="5"/>
  <c r="B196" i="13" s="1"/>
  <c r="M180" i="5"/>
  <c r="B180" i="13" s="1"/>
  <c r="M164" i="5"/>
  <c r="B164" i="13" s="1"/>
  <c r="M148" i="5"/>
  <c r="B148" i="13" s="1"/>
  <c r="M132" i="5"/>
  <c r="B132" i="13" s="1"/>
  <c r="M116" i="5"/>
  <c r="B116" i="13" s="1"/>
  <c r="M100" i="5"/>
  <c r="B100" i="13" s="1"/>
  <c r="M84" i="5"/>
  <c r="B84" i="13" s="1"/>
  <c r="M68" i="5"/>
  <c r="B68" i="13" s="1"/>
  <c r="M44" i="5"/>
  <c r="B44" i="13" s="1"/>
  <c r="M28" i="5"/>
  <c r="B28" i="13" s="1"/>
  <c r="M243" i="5"/>
  <c r="B243" i="13" s="1"/>
  <c r="M227" i="5"/>
  <c r="B227" i="13" s="1"/>
  <c r="M211" i="5"/>
  <c r="B211" i="13" s="1"/>
  <c r="M203" i="5"/>
  <c r="B203" i="13" s="1"/>
  <c r="M187" i="5"/>
  <c r="B187" i="13" s="1"/>
  <c r="M179" i="5"/>
  <c r="B179" i="13" s="1"/>
  <c r="M163" i="5"/>
  <c r="B163" i="13" s="1"/>
  <c r="M147" i="5"/>
  <c r="B147" i="13" s="1"/>
  <c r="M131" i="5"/>
  <c r="B131" i="13" s="1"/>
  <c r="M107" i="5"/>
  <c r="B107" i="13" s="1"/>
  <c r="M91" i="5"/>
  <c r="B91" i="13" s="1"/>
  <c r="M75" i="5"/>
  <c r="B75" i="13" s="1"/>
  <c r="M59" i="5"/>
  <c r="B59" i="13" s="1"/>
  <c r="M43" i="5"/>
  <c r="B43" i="13" s="1"/>
  <c r="M27" i="5"/>
  <c r="B27" i="13" s="1"/>
  <c r="M19" i="5"/>
  <c r="B19" i="13" s="1"/>
  <c r="M253" i="5"/>
  <c r="B253" i="13" s="1"/>
  <c r="M237" i="5"/>
  <c r="B237" i="13" s="1"/>
  <c r="M221" i="5"/>
  <c r="B221" i="13" s="1"/>
  <c r="M205" i="5"/>
  <c r="B205" i="13" s="1"/>
  <c r="M189" i="5"/>
  <c r="B189" i="13" s="1"/>
  <c r="M173" i="5"/>
  <c r="B173" i="13" s="1"/>
  <c r="M157" i="5"/>
  <c r="B157" i="13" s="1"/>
  <c r="M141" i="5"/>
  <c r="B141" i="13" s="1"/>
  <c r="M125" i="5"/>
  <c r="B125" i="13" s="1"/>
  <c r="M109" i="5"/>
  <c r="B109" i="13" s="1"/>
  <c r="M93" i="5"/>
  <c r="B93" i="13" s="1"/>
  <c r="M77" i="5"/>
  <c r="B77" i="13" s="1"/>
  <c r="M61" i="5"/>
  <c r="B61" i="13" s="1"/>
  <c r="M45" i="5"/>
  <c r="B45" i="13" s="1"/>
  <c r="M29" i="5"/>
  <c r="B29" i="13" s="1"/>
  <c r="M13" i="5"/>
  <c r="B13" i="13" s="1"/>
  <c r="M244" i="5"/>
  <c r="B244" i="13" s="1"/>
  <c r="M228" i="5"/>
  <c r="B228" i="13" s="1"/>
  <c r="M212" i="5"/>
  <c r="B212" i="13" s="1"/>
  <c r="M204" i="5"/>
  <c r="B204" i="13" s="1"/>
  <c r="M188" i="5"/>
  <c r="B188" i="13" s="1"/>
  <c r="M172" i="5"/>
  <c r="B172" i="13" s="1"/>
  <c r="M156" i="5"/>
  <c r="B156" i="13" s="1"/>
  <c r="M140" i="5"/>
  <c r="B140" i="13" s="1"/>
  <c r="M124" i="5"/>
  <c r="B124" i="13" s="1"/>
  <c r="M108" i="5"/>
  <c r="B108" i="13" s="1"/>
  <c r="M92" i="5"/>
  <c r="B92" i="13" s="1"/>
  <c r="M76" i="5"/>
  <c r="B76" i="13" s="1"/>
  <c r="M60" i="5"/>
  <c r="B60" i="13" s="1"/>
  <c r="M52" i="5"/>
  <c r="B52" i="13" s="1"/>
  <c r="M36" i="5"/>
  <c r="B36" i="13" s="1"/>
  <c r="M20" i="5"/>
  <c r="B20" i="13" s="1"/>
  <c r="M12" i="5"/>
  <c r="B12" i="13" s="1"/>
  <c r="M251" i="5"/>
  <c r="B251" i="13" s="1"/>
  <c r="M235" i="5"/>
  <c r="B235" i="13" s="1"/>
  <c r="M219" i="5"/>
  <c r="B219" i="13" s="1"/>
  <c r="M195" i="5"/>
  <c r="B195" i="13" s="1"/>
  <c r="M171" i="5"/>
  <c r="B171" i="13" s="1"/>
  <c r="M155" i="5"/>
  <c r="B155" i="13" s="1"/>
  <c r="M139" i="5"/>
  <c r="B139" i="13" s="1"/>
  <c r="M123" i="5"/>
  <c r="B123" i="13" s="1"/>
  <c r="M115" i="5"/>
  <c r="B115" i="13" s="1"/>
  <c r="M99" i="5"/>
  <c r="B99" i="13" s="1"/>
  <c r="M83" i="5"/>
  <c r="B83" i="13" s="1"/>
  <c r="M67" i="5"/>
  <c r="B67" i="13" s="1"/>
  <c r="M51" i="5"/>
  <c r="B51" i="13" s="1"/>
  <c r="M35" i="5"/>
  <c r="B35" i="13" s="1"/>
  <c r="M11" i="5"/>
  <c r="B11" i="13" s="1"/>
</calcChain>
</file>

<file path=xl/sharedStrings.xml><?xml version="1.0" encoding="utf-8"?>
<sst xmlns="http://schemas.openxmlformats.org/spreadsheetml/2006/main" count="1526" uniqueCount="793">
  <si>
    <t>No</t>
  </si>
  <si>
    <t>Nama</t>
  </si>
  <si>
    <t>Prodi</t>
  </si>
  <si>
    <t>Akuntansi</t>
  </si>
  <si>
    <t>Hukum</t>
  </si>
  <si>
    <t>Manajemen</t>
  </si>
  <si>
    <t>PGSD</t>
  </si>
  <si>
    <t>Teknik Elektro</t>
  </si>
  <si>
    <t>Teknik Mesin</t>
  </si>
  <si>
    <t>Teknik Sipil</t>
  </si>
  <si>
    <t>P1</t>
  </si>
  <si>
    <t>P2</t>
  </si>
  <si>
    <t>P3</t>
  </si>
  <si>
    <t>P4</t>
  </si>
  <si>
    <t>P5</t>
  </si>
  <si>
    <t>Konten</t>
  </si>
  <si>
    <t>Nilai Kuesioner</t>
  </si>
  <si>
    <t>Kesiapan memberikan kuliah dan/atau praktek/praktikum</t>
  </si>
  <si>
    <t>Keteraturan dan ketertiban penyelengaraan perkuliahan</t>
  </si>
  <si>
    <t>Kemampuan menjelaskan pokok pembahasan/topik secara cepat</t>
  </si>
  <si>
    <t>Kemampuan memberikan contoh relevan dari konsep yang diajarkan</t>
  </si>
  <si>
    <t>Kemampuan menjelaskan keterkaitan bidang/topik yang di ajarkan dengan bidang/topik yang lain</t>
  </si>
  <si>
    <t>Kemampuan menjelaskan keterkaitan bidang/topik yang diajarkan dengan konteks</t>
  </si>
  <si>
    <t>Kemampuan menggunakan beragam teknologi komunikasi</t>
  </si>
  <si>
    <t>Adil dalam memperlakukan mahasiswa</t>
  </si>
  <si>
    <t>Kemampuan menyampaikan pendapat</t>
  </si>
  <si>
    <t>Kemampuan menerima kritik, saran dan pendapat mahasiswa</t>
  </si>
  <si>
    <t>Kesesuaian materi ujian dan/atau tugas dengan tujuan mata kuliah</t>
  </si>
  <si>
    <t>Keawibawaan sebagai pribadi dosen</t>
  </si>
  <si>
    <t>Menjadi contoh dalam sikap dan perilaku</t>
  </si>
  <si>
    <t>Kemampuan mengendalikan diri dalam berbagai situasi dan kondisi</t>
  </si>
  <si>
    <t>Toleransi terhadap keberagaman mahasiswa</t>
  </si>
  <si>
    <t>Skor</t>
  </si>
  <si>
    <t>Kearifan dalam mengambil keputusan</t>
  </si>
  <si>
    <t>Kesesuaian nilai yang diberikan dengan hasil belajar</t>
  </si>
  <si>
    <t>Satunya kata dan tindakan</t>
  </si>
  <si>
    <t>Pemanfaatan media dan teknologi pembelajaran</t>
  </si>
  <si>
    <t>Mudah bergaul di kalangan mahasiswa</t>
  </si>
  <si>
    <t>Kemampuan menghidupkan suasana kelas</t>
  </si>
  <si>
    <t>Kejelasan penyampaian materi dan jawaban terhadap pertanyaan di kelas</t>
  </si>
  <si>
    <t>Mengenal dengan baik mahasiswa yang mengikuti kuliahnya</t>
  </si>
  <si>
    <t>Pemberian umpan balik terhadap tugas</t>
  </si>
  <si>
    <t>Pengguanaan hasil-hasil penelitian untuk meningkatkan kualitas perkuliahaan</t>
  </si>
  <si>
    <t>Pelibatan mahasiswa dalam penelitian/kajian dan/atau pengembangan/rekayasa/desain yang dilakukan oleh dosen</t>
  </si>
  <si>
    <t>Penguasaan akan isu-isu mutakhir dalam bidang yang diajarkan</t>
  </si>
  <si>
    <t>Dummy</t>
  </si>
  <si>
    <t>NO</t>
  </si>
  <si>
    <t>A</t>
  </si>
  <si>
    <t>B</t>
  </si>
  <si>
    <t>C</t>
  </si>
  <si>
    <t>D</t>
  </si>
  <si>
    <t>E</t>
  </si>
  <si>
    <t xml:space="preserve"> </t>
  </si>
  <si>
    <t>NUSA PUTRA UNIVERSITY</t>
  </si>
  <si>
    <t>Jl. Raya Cibolang No. 21, Cibolang Kaler, Cisaat, Cibolang Kaler, Cisaat, Sukabumi, Jawa Barat 43152. Telp. (0266) 210594</t>
  </si>
  <si>
    <t>A. IDENTITAS DOSEN</t>
  </si>
  <si>
    <t>NAMA DOSEN</t>
  </si>
  <si>
    <t>PROGRAM STUDI</t>
  </si>
  <si>
    <t>JUMLAH KELAS</t>
  </si>
  <si>
    <t>JUMLAH MATA KULIAH</t>
  </si>
  <si>
    <t>JUMLAH RESPONDEN</t>
  </si>
  <si>
    <t>B. REKAPITULASI PENILAIAN</t>
  </si>
  <si>
    <t>Indikator Penilaian</t>
  </si>
  <si>
    <t>Nilai</t>
  </si>
  <si>
    <t>Keterangan</t>
  </si>
  <si>
    <t>Kehadiran</t>
  </si>
  <si>
    <t>Kuesioner Mahasiswa</t>
  </si>
  <si>
    <t>Penelitian</t>
  </si>
  <si>
    <t>Pengabdian</t>
  </si>
  <si>
    <t xml:space="preserve">C. ASPEK PEMBELAJARAN </t>
  </si>
  <si>
    <t xml:space="preserve">C1. REKOMENDASI PERBAIKAN </t>
  </si>
  <si>
    <t>-</t>
  </si>
  <si>
    <t>UNIT PENJAMINAN MUTU</t>
  </si>
  <si>
    <t>UNIVERSITAS NUSA PUTRA</t>
  </si>
  <si>
    <t>CATATAN: KRITERIA PENSKORAN</t>
  </si>
  <si>
    <t>RENTANG SKOR</t>
  </si>
  <si>
    <t>KRITERIA</t>
  </si>
  <si>
    <t>s/d 3.65</t>
  </si>
  <si>
    <t>Kurang Baik</t>
  </si>
  <si>
    <t>s/d 4.11</t>
  </si>
  <si>
    <t>Cukup</t>
  </si>
  <si>
    <t>s/d 4.57</t>
  </si>
  <si>
    <t>Baik</t>
  </si>
  <si>
    <t>s/d 5.00</t>
  </si>
  <si>
    <t>Sangat Baik</t>
  </si>
  <si>
    <t>K1</t>
  </si>
  <si>
    <t>K2</t>
  </si>
  <si>
    <t>K3</t>
  </si>
  <si>
    <t>K4</t>
  </si>
  <si>
    <t>D. CATATAN</t>
  </si>
  <si>
    <t xml:space="preserve">LAPORAN EVALUASI TRIDHARMA DOSEN </t>
  </si>
  <si>
    <t>Kelengkapan Konten Perkuliahan</t>
  </si>
  <si>
    <t>ANDY YUNIARSO, SE, MM, MBA</t>
  </si>
  <si>
    <t>DANIA MEIDA ROSYIDAH, M.Ak</t>
  </si>
  <si>
    <t>DEA ARME TIARA HARAHAP, M.Ak.</t>
  </si>
  <si>
    <t>ELIN PAULINA, MM</t>
  </si>
  <si>
    <t>HELIANI, SE., M.Ak</t>
  </si>
  <si>
    <t>IRWAN HERMAWAN, SE., ME</t>
  </si>
  <si>
    <t>MEUTIA RIANY, S.E., M,Ak</t>
  </si>
  <si>
    <t>MUHAMMAD ZULVAN DWI HATMOKO, M.Acc</t>
  </si>
  <si>
    <t>NANAN SUNANDAR, S.E., M. Akt</t>
  </si>
  <si>
    <t>NUR HIDAYAH KUSUMANINGRUM FADHILAH, SE.,M.Ak</t>
  </si>
  <si>
    <t>NURUL RUSDIANSYAH, M.Ak.., S.Akun</t>
  </si>
  <si>
    <t>TAOFIK MUHAMMAD GUMELAR, M.Ak</t>
  </si>
  <si>
    <t>AGUS DARMAWAN, S.Sn, M.Sn</t>
  </si>
  <si>
    <t>FIRMAN MUTAQIN, S.Ds., M.Ds</t>
  </si>
  <si>
    <t>MOCHAMMAD FICKY AULIA, S.Ds., M.Sn</t>
  </si>
  <si>
    <t>RARAY ISTIANAH, M.Pd</t>
  </si>
  <si>
    <t>RIFKY NUGRAHA,, S.Pd., M.Ds</t>
  </si>
  <si>
    <t>TULUS REGA WAHYUNI E, S.Kom.I., M.Sn</t>
  </si>
  <si>
    <t>CSA TEDDY LESMANA, SH MH</t>
  </si>
  <si>
    <t>Dr BRAM B BAAN, SH., MH, MPH</t>
  </si>
  <si>
    <t>Dr RAHMATSYAH, S.H., M.M., M.H</t>
  </si>
  <si>
    <t>ENDAH PERTIWI, S.H, M.Kn.</t>
  </si>
  <si>
    <t>HAJI ZAENAL ABIDIN, SH, MH, M.Kn</t>
  </si>
  <si>
    <t>HAPPY DAVID PRADHAN, Ph.D</t>
  </si>
  <si>
    <t>JUNAIDI, SH, MM</t>
  </si>
  <si>
    <t>MUHAMAD RIZKI ABDUL MALIK, SH., MH</t>
  </si>
  <si>
    <t>MUHAMMAD RIDHO SINAGA,, SH.,MH</t>
  </si>
  <si>
    <t>NUCHRAHA ALHUDA HASNDA, SH., MH</t>
  </si>
  <si>
    <t>PADLILAH, S.H., M.H</t>
  </si>
  <si>
    <t>RIDA ISTA SITEPU, S.H., M.H</t>
  </si>
  <si>
    <t>UJANG BADRU JAMAN, SH, MH</t>
  </si>
  <si>
    <t>AGUNG MAULANA, M.A</t>
  </si>
  <si>
    <t>ANDRI ARDHIYANSYAH, M.B.A</t>
  </si>
  <si>
    <t>BAGJA RAHMA PUTRA, SE., MM</t>
  </si>
  <si>
    <t>CHIQUITA MAHARANI, S.Si., MM</t>
  </si>
  <si>
    <t>Dr. dr HERI HERIYANTO, MM</t>
  </si>
  <si>
    <t>FITRINA LESTARI, S.Si., MBA</t>
  </si>
  <si>
    <t>IKMALUL MIFTAH Z, MBA</t>
  </si>
  <si>
    <t>INTAN DEANIDA PRATIWI, S.AB., MM</t>
  </si>
  <si>
    <t>KALFAJRIN KURNIAJI, MM.,MBA</t>
  </si>
  <si>
    <t>KHARISMA, SST, MBA</t>
  </si>
  <si>
    <t>M. ANDRI JUNIANSYAH, S.E., M.M</t>
  </si>
  <si>
    <t>MARINA, M.M.,M.Pd</t>
  </si>
  <si>
    <t>MAULITA LUTFIANI, SE., M.M</t>
  </si>
  <si>
    <t>MUHAMAD WAHYU HAMIJAYA, SE.,MM</t>
  </si>
  <si>
    <t>MULUS WIJAYA KUSUMA, SE.,MEc.,Dev.MA.,Ph.D</t>
  </si>
  <si>
    <t>NIA SONANI, SE., MM</t>
  </si>
  <si>
    <t>REKA RAMADHAN, S.Si.,M.Pd</t>
  </si>
  <si>
    <t>RENA YULIANA, S.Pd., M.E</t>
  </si>
  <si>
    <t>SALIX FINI MARIS, S.TP, M.M.</t>
  </si>
  <si>
    <t>SITI NUR AISYAH, MA</t>
  </si>
  <si>
    <t>SITI SARAH SOBARIAH LESTARI, M.Stat</t>
  </si>
  <si>
    <t>THESSA TRI ASTUTY, S.E., M.M.</t>
  </si>
  <si>
    <t>UMAR MANSUR, S.IP., M.M</t>
  </si>
  <si>
    <t>WAHYU MULYADI, S.AB., M.Si</t>
  </si>
  <si>
    <t>ANY ELVIA JAKFAR, S. Psi., M.A.</t>
  </si>
  <si>
    <t>ASEP WAHYUDIN, M.Sn</t>
  </si>
  <si>
    <t>BUDI KURNIA, , M.Pd</t>
  </si>
  <si>
    <t>DINDA ANDIANA, S.Pd, M.Pd</t>
  </si>
  <si>
    <t>Dr. AYI ABDURAHMAN, M.Pd., M.M.</t>
  </si>
  <si>
    <t>Dr. KOHAR PRADESA, , M.Pd</t>
  </si>
  <si>
    <t>Dr. SRI ERWIN CHRISTINE</t>
  </si>
  <si>
    <t>ICUH KOMALA, M.Sn</t>
  </si>
  <si>
    <t>JOKO SUPRAPMANTO, S.Pd., M.Pd</t>
  </si>
  <si>
    <t>LINA HERLINA, S.Pd, M.Pd</t>
  </si>
  <si>
    <t>SAJIDIN, S.Pd., M.M.Pd</t>
  </si>
  <si>
    <t>TEOFILUS ARDIAN HOPEMAN, S.Pd., M.Pd.</t>
  </si>
  <si>
    <t>UTOMO, S.Pd., M.M.</t>
  </si>
  <si>
    <t>ADHITIA ERFINA, S.T, M.Kom</t>
  </si>
  <si>
    <t>ARNY LATTU, S.Pd.Kom., M.Kom</t>
  </si>
  <si>
    <t>CARTI IRAWAN, S.T., M.Kom</t>
  </si>
  <si>
    <t>Dr. SUMARNA, M.Pd</t>
  </si>
  <si>
    <t>DUDIH GUSTIAN, ST, M.Kom</t>
  </si>
  <si>
    <t>HABI BATUROHMAH, S.Kom., M.Kom</t>
  </si>
  <si>
    <t>M ANTON PERMANA, S.Kom., M.Kom</t>
  </si>
  <si>
    <t>MUHAMAD MUSLIH, ST, M.Kom</t>
  </si>
  <si>
    <t>MUPAAT, M.Kom</t>
  </si>
  <si>
    <t>RIESKA RAHAYU AYUNINGSIH, S.T., M.Kom</t>
  </si>
  <si>
    <t>SIHABUDIN, S.T, M.Pd., M.Kom.</t>
  </si>
  <si>
    <t>SUDIN SAEPUDIN, M.Kom</t>
  </si>
  <si>
    <t>WISUDA JATMIKO, S.Kom., M.I.Kom</t>
  </si>
  <si>
    <t>ARYO DE WIBOWO MUHAMMAD SIDIK, S.T., M.T.</t>
  </si>
  <si>
    <t>ASEP DADAN HERMAWAN, A.Md., S.T., M.Sc.., ST., M.Sc</t>
  </si>
  <si>
    <t>Ir. ANGGY PRADIFTHA JUNFITHRANA, S.Pd., M.T</t>
  </si>
  <si>
    <t>Ir. HANDREA BERNANDO TAMBUNAN, S.T., M.ENG, IPM., ASEAN Eng</t>
  </si>
  <si>
    <t>PANJI NARPUTRO, ST., MT</t>
  </si>
  <si>
    <t>ADRIAN REZA, MT</t>
  </si>
  <si>
    <t>DEDE SUKMAWAN, S.Kom., M.Kom</t>
  </si>
  <si>
    <t>Dr. SETIAWATI, M.Pd</t>
  </si>
  <si>
    <t>DRS NUZWAN SUDARIANA, MM</t>
  </si>
  <si>
    <t>FALENTINO SEMBIRING, M.KOM</t>
  </si>
  <si>
    <t>GINA PURNAMA INSANY, S.ST., M.Kom</t>
  </si>
  <si>
    <t>HERMANTO, M.Kom</t>
  </si>
  <si>
    <t>IMAM SANJAYA, S.P., M.Kom</t>
  </si>
  <si>
    <t>INDRA YUSTIANA, S.T., ST., M. Kom</t>
  </si>
  <si>
    <t>IVANA LUCIA KHARISMA, M.Kom</t>
  </si>
  <si>
    <t>LUSIANA SANI PARWATI, S.Pd., M.Mat</t>
  </si>
  <si>
    <t>MUCHTAR ALI SETYO YUDONO, S.T., MT</t>
  </si>
  <si>
    <t>MUHAMMAD IKHSAN THOHIR, M.Kom</t>
  </si>
  <si>
    <t>NUGRAHA, M.Kom</t>
  </si>
  <si>
    <t>ZAENAL ALAMSYAH, M.Kom</t>
  </si>
  <si>
    <t>DANI MARDIYANA, S.Pd.,MT</t>
  </si>
  <si>
    <t>DODI IWAN SUMARNO, MT</t>
  </si>
  <si>
    <t>Dr. Eng ODI AKHYARSI, S.T., M.Eng</t>
  </si>
  <si>
    <t>DWI MARDIKA LESTARI, S.T., M.Sc</t>
  </si>
  <si>
    <t>Ir DENI HASMAN, M.P</t>
  </si>
  <si>
    <t>Ir. FABROBI FAZLUR RIDHA, B.Eng., MT</t>
  </si>
  <si>
    <t>M. ARVIN SYARIFUDIN,, M.T</t>
  </si>
  <si>
    <t>MULYADI, S. Pd., M.T</t>
  </si>
  <si>
    <t>VIRANIE DWI MONIKAWATIE, S.Pd., M.Pd.</t>
  </si>
  <si>
    <t>ZAID SULAIMAN, MT</t>
  </si>
  <si>
    <t>ARDIN ROZANDI, S.T.,M.T</t>
  </si>
  <si>
    <t>BAMBANG JATMIKA, M.T, S.ST</t>
  </si>
  <si>
    <t>CECE SUHENDI, M.T</t>
  </si>
  <si>
    <t>GINA SYABANI YUDA, M.Pd</t>
  </si>
  <si>
    <t>Ir MUHAMMAD HIDAYAT, M.Eng</t>
  </si>
  <si>
    <t>LIOBA EVITA ANIKUSUMA, S.T., M.T., ST., MT</t>
  </si>
  <si>
    <t>NADHYA SUSILO NUGROHO, ST., MT.</t>
  </si>
  <si>
    <t>NITA KURNITA SARI, M. Eng</t>
  </si>
  <si>
    <t>PAIKUN, S.T, M.T</t>
  </si>
  <si>
    <t>RIZKITA RAHMADAYANTI, MT</t>
  </si>
  <si>
    <t>TRIONO, MT</t>
  </si>
  <si>
    <t>Dr. DESHINTA ARROVA DEWI, B.Sc., M.Sc</t>
  </si>
  <si>
    <t>Dr. DINI OKTARINA DWI HANDAYANI, S.T, M.Sc.</t>
  </si>
  <si>
    <t>Prof. Dr. Ir. TEDDY MANTORO, M.Sc</t>
  </si>
  <si>
    <t>Prof. Dr. MEDIA ANUGERAH AYU, M.Sc</t>
  </si>
  <si>
    <t>UMAR ADITIAWARMAN, S.T, M.Sc., Ph.D</t>
  </si>
  <si>
    <t>Desain Komunikasi Visual</t>
  </si>
  <si>
    <t>Sistem Informasi</t>
  </si>
  <si>
    <t xml:space="preserve">Teknik Informatika </t>
  </si>
  <si>
    <t xml:space="preserve">Magister Informatika </t>
  </si>
  <si>
    <t>Dr HERWAN, S.Pd.I., M.M.Pd</t>
  </si>
  <si>
    <t>ABU BAKAR, S.Sos., MM</t>
  </si>
  <si>
    <t>BONSE ARIS MANDALA PUTRA SIMANGUNSONG</t>
  </si>
  <si>
    <t>Dr DR GUSTIAN DJUANDA, SE,MM</t>
  </si>
  <si>
    <t>HESRI MINTAWATI, S.Pd.,MM.,Ph.D</t>
  </si>
  <si>
    <t>RR AMANNA DZIKRILLAH LAZUARDINI LUQMAN AL HAKIM, MBA</t>
  </si>
  <si>
    <t>RIYAN MIRDAN FARIS, S.E, M.Si</t>
  </si>
  <si>
    <t>Drs YOEDANI, M.M</t>
  </si>
  <si>
    <t>Dr. Ir. H. DANA BUDIMAN, M.Si</t>
  </si>
  <si>
    <t>IRFAN SOFIAN, M.Pd</t>
  </si>
  <si>
    <t>IWAN GUNAWAN, S.Pd., MM</t>
  </si>
  <si>
    <t>FITRIA NURULAENI, S.Pd., M.Pd</t>
  </si>
  <si>
    <t>Prof MUHIBBIN SYAH, M.Ed</t>
  </si>
  <si>
    <t>SHERYL MUTIARA PUTRI, M.Pd</t>
  </si>
  <si>
    <t>RINALDI YUSUP, M.Pd</t>
  </si>
  <si>
    <t>NUNIK DESTRIA ARIANTI, S.Kom, M.Kom</t>
  </si>
  <si>
    <t>.</t>
  </si>
  <si>
    <t>Dr BAYU INDRAWAN, SE., ST., MT</t>
  </si>
  <si>
    <t>LAZUARDI AKMAL ISLAMI, M.Si</t>
  </si>
  <si>
    <t>Ir. SOMANTRI, S.T, M.Kom</t>
  </si>
  <si>
    <t>Dr. Ir. IWAN SETIAWAN, MT, MCP, MCSA, MCAD, CSEP., CNET., CITGP. CITAP., IPM., ASEAN ENG.</t>
  </si>
  <si>
    <t>DWI SARTIKA SIMATUPANG, ST.,MT.I</t>
  </si>
  <si>
    <t>ANGGUN FERGINA, S.Kom., M.Kom</t>
  </si>
  <si>
    <t>ALUN SUJJADA, S.Kom, M.T</t>
  </si>
  <si>
    <t>Ir. ANANG SURYANA, S.Pd., M.Si., M.Si.</t>
  </si>
  <si>
    <t>Dr. JELITA  ASIAN, B. Msc (Hon)</t>
  </si>
  <si>
    <t>HARIS AL QODRI MAARIF, Ph.D.</t>
  </si>
  <si>
    <t>DIO DAMAS PERMADI, ST., M.Eng</t>
  </si>
  <si>
    <t>Ir UTAMY SUKMAYU SAPUTRI, ST.,MT.,IPP</t>
  </si>
  <si>
    <t>Dr KURNIAWAN, S.T, M.Si, M.M</t>
  </si>
  <si>
    <t>Dr. RAHMADYA TRIAS HANDAYANTO</t>
  </si>
  <si>
    <t>IRVING GUSTAV SALIM, S.Pd., M.Ds</t>
  </si>
  <si>
    <t>ARIEF FIRMANTO, S.Kom., M.M</t>
  </si>
  <si>
    <t>APRINALDI JASA MANTAU, S.Kom., M.Kom., Ph.D</t>
  </si>
  <si>
    <t>TRISIANI DEWI HENDRAWATI, ST., MT</t>
  </si>
  <si>
    <t>CECEP WARMAN, M.Kom</t>
  </si>
  <si>
    <t>S.Ds IRNI RESMI APRIYANTI, S.Ds., M.Ds</t>
  </si>
  <si>
    <t>Dr WATI SOLIHAT SUKMAWATI, M.Pd</t>
  </si>
  <si>
    <t>Universitas Nusa Putra</t>
  </si>
  <si>
    <t>Dr. UCU AGUSTINI SRI MULYANI, S.Pd., M.Pd</t>
  </si>
  <si>
    <t>SONA MINASYAN, MSW</t>
  </si>
  <si>
    <t>YULI DIANI RAHMAWATI, MM</t>
  </si>
  <si>
    <t>KHAIRUL MUJAHIDI, S.E., M.AK</t>
  </si>
  <si>
    <t>NUR ALIM BAHRI, S.Ak., M.Ak</t>
  </si>
  <si>
    <t>Dr M. ROKEN FADLY. MK, MH</t>
  </si>
  <si>
    <t>Dr SITTI HIKMAWATTY, S.ST., M.Pd</t>
  </si>
  <si>
    <t>SAMUEL RIHI HADI UTOMO, S.Ds., M.A.</t>
  </si>
  <si>
    <t>ADI NUGRAHA, S.Pd., M.T</t>
  </si>
  <si>
    <t>RINI KHAMIMMATUL ULA, PHD</t>
  </si>
  <si>
    <t>ULIA RAHMAH, M.Pd</t>
  </si>
  <si>
    <t>CHITRASH BISHT, D.El.Ed., B.Tech., M.Hist</t>
  </si>
  <si>
    <t>H HENDAR ALI IRAWAN, LC., M.Pd</t>
  </si>
  <si>
    <t>Dr. dr HARURIKSON LUMBANTOBING, M.Kes., M.Ked (Clinpath)</t>
  </si>
  <si>
    <t>MONEYTA DHOLAH ROSITA, S.Kom., M.Kom</t>
  </si>
  <si>
    <t>ONNO PURBO, PhD</t>
  </si>
  <si>
    <t>MEGA LUMBIA OCTAVIA S, S.Kom., M.Kom</t>
  </si>
  <si>
    <t>Dr. Ir MOH. YANUAR JARWADI PURWANTO, MS, IPU</t>
  </si>
  <si>
    <t>Dr NURKHAN, M.Ag</t>
  </si>
  <si>
    <t>SUMARTA SETIADI, S.H., M.H</t>
  </si>
  <si>
    <t>FIKRI ARIF WICAKSANA, S.Pd., M.T.</t>
  </si>
  <si>
    <t>EVI NOVIANTI KARMUSIH, S.Pd., M.Hum</t>
  </si>
  <si>
    <t>MOHAMAD NAJIB, S.Pd., M.Pd</t>
  </si>
  <si>
    <t>AGUSTAMI SITORUS, S.TP., M.Sc</t>
  </si>
  <si>
    <t>SHINTA AYUNINGTIAS, S.Kom., M.Kom</t>
  </si>
  <si>
    <t>SYAHID ABDULLAH, S.Si., M.Kom</t>
  </si>
  <si>
    <t>Dr YUDI PRAYUDI, M.Kom</t>
  </si>
  <si>
    <t>Dr DEDE</t>
  </si>
  <si>
    <t>N.S. SIVAKUMAR, M.E., Ph.D</t>
  </si>
  <si>
    <t>Dr MEILIANI LUCKIETA, MM</t>
  </si>
  <si>
    <t>Kriteria</t>
  </si>
  <si>
    <t>Magister Pedagogi</t>
  </si>
  <si>
    <t>Dr AGUS HENDRIYANTO, M.Pd</t>
  </si>
  <si>
    <t>Dr.H. UJANG SYARIP HIDAYAT, M.Pd</t>
  </si>
  <si>
    <t>Dr.Hj. Wiwin Winarni .M., M.Pd</t>
  </si>
  <si>
    <t>Magister Manajemen</t>
  </si>
  <si>
    <t>Dr. NUR HASAN KURNIAWAN, S.E., M.M</t>
  </si>
  <si>
    <t>DEDEN WITARSYAH, S.T., M.ENG., PH.D.</t>
  </si>
  <si>
    <t>HENDRI EKA SATRIA, M.Kom</t>
  </si>
  <si>
    <t>IIS ISMAYANTI, ST., M.Kom</t>
  </si>
  <si>
    <t>DHITA DIANA DEWI, M.Stat</t>
  </si>
  <si>
    <t>RUDY SOFIAN, ST., M.Kom</t>
  </si>
  <si>
    <t>YULHAN WAHYUDIN, M.Kom</t>
  </si>
  <si>
    <t>KAMDAN, S.T., M.KOM</t>
  </si>
  <si>
    <t>ZELDI SURYADY, S.T., M.SC., PH.D</t>
  </si>
  <si>
    <t>SRI RAHMADANI, M.Si</t>
  </si>
  <si>
    <t>DR.ENG. CHRIS SALIM, B.ENG., M.ENG</t>
  </si>
  <si>
    <t>HEPPI FAMILIANA, A.MD., SST., M.T</t>
  </si>
  <si>
    <t>Ir MARINA ARTIYASA, S.T., MT., ST., MT,IPM</t>
  </si>
  <si>
    <t>MEIDIASARI, ST., MT</t>
  </si>
  <si>
    <t>Prof. Dr. H. M. SUBANDI, Drs., Ir., MP.</t>
  </si>
  <si>
    <t xml:space="preserve">RINEKA ROSINANSIS, M.Mat </t>
  </si>
  <si>
    <t>RYAN MUNANDAR, S.Si., M.Si</t>
  </si>
  <si>
    <t>DR. JASMANSYAH, S.PD., M.PD., M.HI</t>
  </si>
  <si>
    <t>DR. ENENG RAHMI, S.SI., M.SI</t>
  </si>
  <si>
    <t>ADI NURPERMANA, M.Ak</t>
  </si>
  <si>
    <t>SHERLITA NUROSIDAH, AE., M.Sc., ME</t>
  </si>
  <si>
    <t>RIZKY NOVIASRI, M.Ds</t>
  </si>
  <si>
    <t>ANITA APRILIANI RAHAYU, S.Ds., M.Ds.</t>
  </si>
  <si>
    <t>RIYADHUS SHALIHIN, M.Sn.</t>
  </si>
  <si>
    <t>ALFONSUS SOMBOLINGGI, M.Hum</t>
  </si>
  <si>
    <t>PROF. MARCO MACRCHETTI, Ph.D</t>
  </si>
  <si>
    <t>SARITA NANDMEHAR</t>
  </si>
  <si>
    <t>PROF. DR. RR. DEWI ANGGRAENI, S.H.., M.H</t>
  </si>
  <si>
    <t>ABDUL GAPUR, M.Pd</t>
  </si>
  <si>
    <t>CHAIRUDDIN, M.M</t>
  </si>
  <si>
    <t>HANDY ANDRIYAS, MM</t>
  </si>
  <si>
    <t>INDRA AFRIADI, SE., MM</t>
  </si>
  <si>
    <t>PROF. ANGEL ESMERALDA, Ph.D</t>
  </si>
  <si>
    <t>NASHIRATUNNISA, M.Pd</t>
  </si>
  <si>
    <t>NURVIANI, M.Pd</t>
  </si>
  <si>
    <t>YUDI RAHMAT MUHARAM, M.Pd</t>
  </si>
  <si>
    <t>DR. IA HIDARYA, S.PD.I., M.M.</t>
  </si>
  <si>
    <t>Jumlah Matkul</t>
  </si>
  <si>
    <t>Jumlah Kelas</t>
  </si>
  <si>
    <t>Jumlah Responden</t>
  </si>
  <si>
    <t>Jumlah Kehadiran</t>
  </si>
  <si>
    <t>Jumlah Penelitian</t>
  </si>
  <si>
    <t>Jumlah Pengabdian</t>
  </si>
  <si>
    <t>4.81</t>
  </si>
  <si>
    <t>4.70</t>
  </si>
  <si>
    <t>Dr. INDRA HERMAWAN, S.Kom., M.Kom</t>
  </si>
  <si>
    <t>4.65</t>
  </si>
  <si>
    <t>4.63</t>
  </si>
  <si>
    <t>ASEP NURZAMAN, M.Pd</t>
  </si>
  <si>
    <t>4.59</t>
  </si>
  <si>
    <t>4.52</t>
  </si>
  <si>
    <t>4.50</t>
  </si>
  <si>
    <t>4.48</t>
  </si>
  <si>
    <t>4.47</t>
  </si>
  <si>
    <t>4.46</t>
  </si>
  <si>
    <t>4.44</t>
  </si>
  <si>
    <t>SITI HAJAR, M.Pd</t>
  </si>
  <si>
    <t>4.43</t>
  </si>
  <si>
    <t>4.42</t>
  </si>
  <si>
    <t>4.41</t>
  </si>
  <si>
    <t>4.40</t>
  </si>
  <si>
    <t>Dr Pratama Dahlian Persadha, S.Sos. MM.</t>
  </si>
  <si>
    <t>4.39</t>
  </si>
  <si>
    <t>4.37</t>
  </si>
  <si>
    <t>Dr WILLIAMS DUNU</t>
  </si>
  <si>
    <t>4.34</t>
  </si>
  <si>
    <t>4.33</t>
  </si>
  <si>
    <t>4.31</t>
  </si>
  <si>
    <t>4.30</t>
  </si>
  <si>
    <t>4.29</t>
  </si>
  <si>
    <t>4.28</t>
  </si>
  <si>
    <t>AMIRUDDIN</t>
  </si>
  <si>
    <t>MEXY JULIANA TAMBUNAN, S.S., M.Pd.K</t>
  </si>
  <si>
    <t>Dr BUDI SETIADI, M.Pd</t>
  </si>
  <si>
    <t>Dr DYAH LYESMAYA, S.S., M.Pd.</t>
  </si>
  <si>
    <t>60 dari 94</t>
  </si>
  <si>
    <t>SHALY WANDA HAMZAH, S.Si.,M.Si</t>
  </si>
  <si>
    <t>Anang Anandiar, M.Pd</t>
  </si>
  <si>
    <t>ABD RAHMAN BIN ABDUL RAHIM, M.Sc., Ph.D</t>
  </si>
  <si>
    <t>Dr. ASEP ZUHARA ARGAWINATA, M.I.Kom</t>
  </si>
  <si>
    <t>HERMAN RUSTANDI, S.Ak., M.Ak</t>
  </si>
  <si>
    <t>Dr ASEP SUTISNA SANJAYA, S.Pd., M.Pd</t>
  </si>
  <si>
    <t>Dr HARI MUHARAM, SE., MM</t>
  </si>
  <si>
    <t>ADITYA, M.Kom</t>
  </si>
  <si>
    <t>ASRIL BASRY, M.Kom</t>
  </si>
  <si>
    <t>ARNI MAHARANI, S. Ak., M.Ak</t>
  </si>
  <si>
    <t>BASKORO TRI JULIANTO, S.T., M.T</t>
  </si>
  <si>
    <t>NAOMI HEUMASSE, S.Pd., M.Pd</t>
  </si>
  <si>
    <t>GESNIDA YUNITA, S.Sn, M.Sn,</t>
  </si>
  <si>
    <t>Dr. ABDUL AZIZ RAHMAN, M.Pd</t>
  </si>
  <si>
    <t>Dr. GIRI VERIANTI, M.Pd</t>
  </si>
  <si>
    <t>Keanekaragaman cara pengukuran hasil belajar</t>
  </si>
  <si>
    <t>Dr. ARMANSYAH, S.H., M.H.</t>
  </si>
  <si>
    <t>ANA YULIANA JASUNI, M.M.</t>
  </si>
  <si>
    <t>Obs</t>
  </si>
  <si>
    <t>Rata-Rata</t>
  </si>
  <si>
    <t>MELSYA FIRTIKASARI, S.Pd., M.Sn</t>
  </si>
  <si>
    <t>Dr. SLAMET SUTRISNO, S.T., M.M</t>
  </si>
  <si>
    <t>Dr. WULAN WIDANINGSIH</t>
  </si>
  <si>
    <t>Dr. H. BARKAH, S.Pd.,M.Pd</t>
  </si>
  <si>
    <t>Dr. SAMSUL PAHMI, M.Pd.</t>
  </si>
  <si>
    <t>Dr. DHEA ADELA, M.Pd</t>
  </si>
  <si>
    <t xml:space="preserve">   </t>
  </si>
  <si>
    <t>GASAL 2025-2026</t>
  </si>
  <si>
    <t>43 dari 98</t>
  </si>
  <si>
    <t>4.92</t>
  </si>
  <si>
    <t>4.89</t>
  </si>
  <si>
    <t>86 dari 196</t>
  </si>
  <si>
    <t>20 dari 36</t>
  </si>
  <si>
    <t>4.87</t>
  </si>
  <si>
    <t>23 dari 62</t>
  </si>
  <si>
    <t>4.83</t>
  </si>
  <si>
    <t>72 dari 149</t>
  </si>
  <si>
    <t>12 dari 15</t>
  </si>
  <si>
    <t>4.79</t>
  </si>
  <si>
    <t>28 dari 62</t>
  </si>
  <si>
    <t>4.78</t>
  </si>
  <si>
    <t>37 dari 110</t>
  </si>
  <si>
    <t>4.76</t>
  </si>
  <si>
    <t>20 dari 49</t>
  </si>
  <si>
    <t>30 dari 42</t>
  </si>
  <si>
    <t>15 dari 16</t>
  </si>
  <si>
    <t>4.69</t>
  </si>
  <si>
    <t>61 dari 117</t>
  </si>
  <si>
    <t>64 dari 92</t>
  </si>
  <si>
    <t>4.64</t>
  </si>
  <si>
    <t>101 dari 236</t>
  </si>
  <si>
    <t>88 dari 182</t>
  </si>
  <si>
    <t>78 dari 147</t>
  </si>
  <si>
    <t>4.56</t>
  </si>
  <si>
    <t>82 dari 169</t>
  </si>
  <si>
    <t>4.55</t>
  </si>
  <si>
    <t>37 dari 102</t>
  </si>
  <si>
    <t>4.54</t>
  </si>
  <si>
    <t>56 dari 117</t>
  </si>
  <si>
    <t>37 dari 81</t>
  </si>
  <si>
    <t>131 dari 312</t>
  </si>
  <si>
    <t>38 dari 202</t>
  </si>
  <si>
    <t>221 dari 420</t>
  </si>
  <si>
    <t>2 dari 13</t>
  </si>
  <si>
    <t>74 dari 170</t>
  </si>
  <si>
    <t>39 dari 105</t>
  </si>
  <si>
    <t>86 dari 164</t>
  </si>
  <si>
    <t>4.49</t>
  </si>
  <si>
    <t>44 dari 89</t>
  </si>
  <si>
    <t>15 dari 27</t>
  </si>
  <si>
    <t>193 dari 352</t>
  </si>
  <si>
    <t>15 dari 91</t>
  </si>
  <si>
    <t>125 dari 249</t>
  </si>
  <si>
    <t>160 dari 280</t>
  </si>
  <si>
    <t>4.45</t>
  </si>
  <si>
    <t>84 dari 164</t>
  </si>
  <si>
    <t>139 dari 258</t>
  </si>
  <si>
    <t>28 dari 39</t>
  </si>
  <si>
    <t>48 dari 86</t>
  </si>
  <si>
    <t>123 dari 236</t>
  </si>
  <si>
    <t>65 dari 149</t>
  </si>
  <si>
    <t>82 dari 147</t>
  </si>
  <si>
    <t>44 dari 98</t>
  </si>
  <si>
    <t>42 dari 177</t>
  </si>
  <si>
    <t>80 dari 178</t>
  </si>
  <si>
    <t>76 dari 136</t>
  </si>
  <si>
    <t>88 dari 163</t>
  </si>
  <si>
    <t>36 dari 80</t>
  </si>
  <si>
    <t>112 dari 223</t>
  </si>
  <si>
    <t>4.38</t>
  </si>
  <si>
    <t>189 dari 364</t>
  </si>
  <si>
    <t>120 dari 246</t>
  </si>
  <si>
    <t>52 dari 115</t>
  </si>
  <si>
    <t>4.36</t>
  </si>
  <si>
    <t>60 dari 125</t>
  </si>
  <si>
    <t>163 dari 273</t>
  </si>
  <si>
    <t>133 dari 246</t>
  </si>
  <si>
    <t>39 dari 77</t>
  </si>
  <si>
    <t>122 dari 211</t>
  </si>
  <si>
    <t>125 dari 220</t>
  </si>
  <si>
    <t>98 dari 180</t>
  </si>
  <si>
    <t>39 dari 90</t>
  </si>
  <si>
    <t>82 dari 175</t>
  </si>
  <si>
    <t>4.32</t>
  </si>
  <si>
    <t>202 dari 336</t>
  </si>
  <si>
    <t>62 dari 130</t>
  </si>
  <si>
    <t>93 dari 256</t>
  </si>
  <si>
    <t>12 dari 95</t>
  </si>
  <si>
    <t>63 dari 158</t>
  </si>
  <si>
    <t>65 dari 130</t>
  </si>
  <si>
    <t>121 dari 214</t>
  </si>
  <si>
    <t>63 dari 126</t>
  </si>
  <si>
    <t>129 dari 216</t>
  </si>
  <si>
    <t>58 dari 121</t>
  </si>
  <si>
    <t>65 dari 181</t>
  </si>
  <si>
    <t>157 dari 334</t>
  </si>
  <si>
    <t>127 dari 240</t>
  </si>
  <si>
    <t>229 dari 382</t>
  </si>
  <si>
    <t>114 dari 262</t>
  </si>
  <si>
    <t>141 dari 283</t>
  </si>
  <si>
    <t>4.27</t>
  </si>
  <si>
    <t>134 dari 226</t>
  </si>
  <si>
    <t>212 dari 370</t>
  </si>
  <si>
    <t>154 dari 286</t>
  </si>
  <si>
    <t>125 dari 215</t>
  </si>
  <si>
    <t>162 dari 283</t>
  </si>
  <si>
    <t>167 dari 269</t>
  </si>
  <si>
    <t>154 dari 296</t>
  </si>
  <si>
    <t>4.26</t>
  </si>
  <si>
    <t>193 dari 358</t>
  </si>
  <si>
    <t>121 dari 203</t>
  </si>
  <si>
    <t>148 dari 259</t>
  </si>
  <si>
    <t>168 dari 247</t>
  </si>
  <si>
    <t>127 dari 248</t>
  </si>
  <si>
    <t>62 dari 236</t>
  </si>
  <si>
    <t>151 dari 330</t>
  </si>
  <si>
    <t>4.25</t>
  </si>
  <si>
    <t>105 dari 191</t>
  </si>
  <si>
    <t>107 dari 278</t>
  </si>
  <si>
    <t>80 dari 148</t>
  </si>
  <si>
    <t>4.24</t>
  </si>
  <si>
    <t>54 dari 123</t>
  </si>
  <si>
    <t>84 dari 165</t>
  </si>
  <si>
    <t>148 dari 252</t>
  </si>
  <si>
    <t>72 dari 229</t>
  </si>
  <si>
    <t>4.23</t>
  </si>
  <si>
    <t>259 dari 455</t>
  </si>
  <si>
    <t>58 dari 130</t>
  </si>
  <si>
    <t>224 dari 370</t>
  </si>
  <si>
    <t>4.22</t>
  </si>
  <si>
    <t>129 dari 184</t>
  </si>
  <si>
    <t>238 dari 462</t>
  </si>
  <si>
    <t>66 dari 125</t>
  </si>
  <si>
    <t>130 dari 228</t>
  </si>
  <si>
    <t>4.21</t>
  </si>
  <si>
    <t>154 dari 221</t>
  </si>
  <si>
    <t>4.20</t>
  </si>
  <si>
    <t>156 dari 269</t>
  </si>
  <si>
    <t>58 dari 118</t>
  </si>
  <si>
    <t>4.19</t>
  </si>
  <si>
    <t>60 dari 164</t>
  </si>
  <si>
    <t>167 dari 255</t>
  </si>
  <si>
    <t>82 dari 94</t>
  </si>
  <si>
    <t>35 dari 77</t>
  </si>
  <si>
    <t>4.18</t>
  </si>
  <si>
    <t>88 dari 165</t>
  </si>
  <si>
    <t>4.17</t>
  </si>
  <si>
    <t>136 dari 193</t>
  </si>
  <si>
    <t>46 dari 106</t>
  </si>
  <si>
    <t>4.16</t>
  </si>
  <si>
    <t>111 dari 230</t>
  </si>
  <si>
    <t>38 dari 102</t>
  </si>
  <si>
    <t>214 dari 370</t>
  </si>
  <si>
    <t>56 dari 98</t>
  </si>
  <si>
    <t>115 dari 281</t>
  </si>
  <si>
    <t>4.15</t>
  </si>
  <si>
    <t>81 dari 211</t>
  </si>
  <si>
    <t>95 dari 245</t>
  </si>
  <si>
    <t>4.14</t>
  </si>
  <si>
    <t>55 dari 167</t>
  </si>
  <si>
    <t>128 dari 269</t>
  </si>
  <si>
    <t>43 dari 84</t>
  </si>
  <si>
    <t>4.13</t>
  </si>
  <si>
    <t>42 dari 115</t>
  </si>
  <si>
    <t>4.12</t>
  </si>
  <si>
    <t>102 dari 182</t>
  </si>
  <si>
    <t>91 dari 224</t>
  </si>
  <si>
    <t>289 dari 511</t>
  </si>
  <si>
    <t>63 dari 177</t>
  </si>
  <si>
    <t>97 dari 156</t>
  </si>
  <si>
    <t>4.11</t>
  </si>
  <si>
    <t>94 dari 199</t>
  </si>
  <si>
    <t>Dr. SAMSUL PAHMI, S.Pd, M.Pd</t>
  </si>
  <si>
    <t>151 dari 271</t>
  </si>
  <si>
    <t>110 dari 201</t>
  </si>
  <si>
    <t>67 dari 127</t>
  </si>
  <si>
    <t>246 dari 450</t>
  </si>
  <si>
    <t>118 dari 172</t>
  </si>
  <si>
    <t>13 dari 92</t>
  </si>
  <si>
    <t>4.10</t>
  </si>
  <si>
    <t>95 dari 178</t>
  </si>
  <si>
    <t>4.09</t>
  </si>
  <si>
    <t>122 dari 170</t>
  </si>
  <si>
    <t>79 dari 156</t>
  </si>
  <si>
    <t>132 dari 333</t>
  </si>
  <si>
    <t>4.07</t>
  </si>
  <si>
    <t>144 dari 248</t>
  </si>
  <si>
    <t>132 dari 232</t>
  </si>
  <si>
    <t>4.05</t>
  </si>
  <si>
    <t>173 dari 310</t>
  </si>
  <si>
    <t>226 dari 368</t>
  </si>
  <si>
    <t>4.04</t>
  </si>
  <si>
    <t>71 dari 103</t>
  </si>
  <si>
    <t>183 dari 267</t>
  </si>
  <si>
    <t>27 dari 50</t>
  </si>
  <si>
    <t>89 dari 165</t>
  </si>
  <si>
    <t>4.03</t>
  </si>
  <si>
    <t>40 dari 160</t>
  </si>
  <si>
    <t>305 dari 570</t>
  </si>
  <si>
    <t>4.02</t>
  </si>
  <si>
    <t>116 dari 181</t>
  </si>
  <si>
    <t>77 dari 208</t>
  </si>
  <si>
    <t>110 dari 220</t>
  </si>
  <si>
    <t>4.01</t>
  </si>
  <si>
    <t>202 dari 344</t>
  </si>
  <si>
    <t>4.00</t>
  </si>
  <si>
    <t>120 dari 197</t>
  </si>
  <si>
    <t>130 dari 196</t>
  </si>
  <si>
    <t>3.99</t>
  </si>
  <si>
    <t>71 dari 128</t>
  </si>
  <si>
    <t>375 dari 620</t>
  </si>
  <si>
    <t>78 dari 179</t>
  </si>
  <si>
    <t>199 dari 360</t>
  </si>
  <si>
    <t>3.97</t>
  </si>
  <si>
    <t>13 dari 80</t>
  </si>
  <si>
    <t>96 dari 160</t>
  </si>
  <si>
    <t>43 dari 82</t>
  </si>
  <si>
    <t>85 dari 145</t>
  </si>
  <si>
    <t>120 dari 194</t>
  </si>
  <si>
    <t>84 dari 113</t>
  </si>
  <si>
    <t>3.96</t>
  </si>
  <si>
    <t>142 dari 194</t>
  </si>
  <si>
    <t>171 dari 314</t>
  </si>
  <si>
    <t>3.95</t>
  </si>
  <si>
    <t>24 dari 59</t>
  </si>
  <si>
    <t>27 dari 62</t>
  </si>
  <si>
    <t>144 dari 278</t>
  </si>
  <si>
    <t>72 dari 101</t>
  </si>
  <si>
    <t>189 dari 371</t>
  </si>
  <si>
    <t>130 dari 242</t>
  </si>
  <si>
    <t>46 dari 108</t>
  </si>
  <si>
    <t>3.94</t>
  </si>
  <si>
    <t>52 dari 90</t>
  </si>
  <si>
    <t>55 dari 131</t>
  </si>
  <si>
    <t>122 dari 226</t>
  </si>
  <si>
    <t>79 dari 141</t>
  </si>
  <si>
    <t>311 dari 514</t>
  </si>
  <si>
    <t>3.93</t>
  </si>
  <si>
    <t>38 dari 92</t>
  </si>
  <si>
    <t>57 dari 118</t>
  </si>
  <si>
    <t>95 dari 140</t>
  </si>
  <si>
    <t>3.92</t>
  </si>
  <si>
    <t>99 dari 181</t>
  </si>
  <si>
    <t>3.91</t>
  </si>
  <si>
    <t>69 dari 163</t>
  </si>
  <si>
    <t>75 dari 104</t>
  </si>
  <si>
    <t>3.88</t>
  </si>
  <si>
    <t>24 dari 47</t>
  </si>
  <si>
    <t>93 dari 160</t>
  </si>
  <si>
    <t>3.87</t>
  </si>
  <si>
    <t>76 dari 161</t>
  </si>
  <si>
    <t>3.86</t>
  </si>
  <si>
    <t>61 dari 146</t>
  </si>
  <si>
    <t>3.85</t>
  </si>
  <si>
    <t>21 dari 70</t>
  </si>
  <si>
    <t>3.83</t>
  </si>
  <si>
    <t>117 dari 204</t>
  </si>
  <si>
    <t>17 dari 42</t>
  </si>
  <si>
    <t>3.81</t>
  </si>
  <si>
    <t>136 dari 283</t>
  </si>
  <si>
    <t>64 dari 120</t>
  </si>
  <si>
    <t>3.80</t>
  </si>
  <si>
    <t>37 dari 64</t>
  </si>
  <si>
    <t>90 dari 158</t>
  </si>
  <si>
    <t>3.77</t>
  </si>
  <si>
    <t>67 dari 163</t>
  </si>
  <si>
    <t>3.76</t>
  </si>
  <si>
    <t>151 dari 250</t>
  </si>
  <si>
    <t>3.73</t>
  </si>
  <si>
    <t>107 dari 215</t>
  </si>
  <si>
    <t>3.72</t>
  </si>
  <si>
    <t>45 dari 79</t>
  </si>
  <si>
    <t>54 dari 153</t>
  </si>
  <si>
    <t>3.71</t>
  </si>
  <si>
    <t>89 dari 124</t>
  </si>
  <si>
    <t>3.70</t>
  </si>
  <si>
    <t>77 dari 126</t>
  </si>
  <si>
    <t>33 dari 107</t>
  </si>
  <si>
    <t>3.69</t>
  </si>
  <si>
    <t>116 dari 194</t>
  </si>
  <si>
    <t>3.68</t>
  </si>
  <si>
    <t>99 dari 185</t>
  </si>
  <si>
    <t>90 dari 145</t>
  </si>
  <si>
    <t>3.65</t>
  </si>
  <si>
    <t>62 dari 76</t>
  </si>
  <si>
    <t>91 dari 153</t>
  </si>
  <si>
    <t>3.55</t>
  </si>
  <si>
    <t>69 dari 104</t>
  </si>
  <si>
    <t>3.25</t>
  </si>
  <si>
    <t>42 dari 79</t>
  </si>
  <si>
    <t>3.17</t>
  </si>
  <si>
    <t>48 dari 80</t>
  </si>
  <si>
    <t>3.13</t>
  </si>
  <si>
    <t>121 dari 164</t>
  </si>
  <si>
    <t>2.72</t>
  </si>
  <si>
    <t>12 dari 23</t>
  </si>
  <si>
    <t>29 dari 55</t>
  </si>
  <si>
    <t>4.62</t>
  </si>
  <si>
    <t>19 dari 34</t>
  </si>
  <si>
    <t>4.61</t>
  </si>
  <si>
    <t>99 dari 250</t>
  </si>
  <si>
    <t>54 dari 83</t>
  </si>
  <si>
    <t>107 dari 163</t>
  </si>
  <si>
    <t>96 dari 264</t>
  </si>
  <si>
    <t>54 dari 79</t>
  </si>
  <si>
    <t>56 dari 153</t>
  </si>
  <si>
    <t>20 dari 38</t>
  </si>
  <si>
    <t>180 dari 322</t>
  </si>
  <si>
    <t>Prof RISNANDAR</t>
  </si>
  <si>
    <t>7 dari 7</t>
  </si>
  <si>
    <t>4.86</t>
  </si>
  <si>
    <t>Dr Antonio Varriale</t>
  </si>
  <si>
    <t>13 dari 23</t>
  </si>
  <si>
    <t>4.85</t>
  </si>
  <si>
    <t>Prof. Ir. APRIL LIA HANANTO, Ph.D</t>
  </si>
  <si>
    <t>SABRINA RAISSA FEBRIANI, S.Ds., M.Ds</t>
  </si>
  <si>
    <t>13 dari 86</t>
  </si>
  <si>
    <t>4.71</t>
  </si>
  <si>
    <t>ALLIFNA NUR'IZZATI FAJRIAH, M.Pd</t>
  </si>
  <si>
    <t>54 dari 135</t>
  </si>
  <si>
    <t>Assoc. Prof. Dr. Ir. DASEP HASBULLAH, S.P., M.Si, IPM</t>
  </si>
  <si>
    <t>82 dari 102</t>
  </si>
  <si>
    <t>4.51</t>
  </si>
  <si>
    <t>Dr. Yusuf Iskandar, S.Si., M.M.</t>
  </si>
  <si>
    <t>184 dari 364</t>
  </si>
  <si>
    <t>MUHAMMAD NUUR ROHMAN</t>
  </si>
  <si>
    <t>108 dari 223</t>
  </si>
  <si>
    <t>AGUS PERMANA, MM., M.Ds</t>
  </si>
  <si>
    <t>8 dari 35</t>
  </si>
  <si>
    <t>SUPRIANDI, SM., MM</t>
  </si>
  <si>
    <t>126 dari 248</t>
  </si>
  <si>
    <t>4.35</t>
  </si>
  <si>
    <t>ERINA SOVANIA, M.I.Kom</t>
  </si>
  <si>
    <t>82 dari 223</t>
  </si>
  <si>
    <t>SAMIRAH RAHAYU, M.KOM</t>
  </si>
  <si>
    <t>80 dari 152</t>
  </si>
  <si>
    <t>WAHYU TRI BUDIANTO, S.Mat., M.Sc</t>
  </si>
  <si>
    <t>103 dari 170</t>
  </si>
  <si>
    <t>ANTONIO JUNICO DA CRUZ SOARES, S.Ds., M.Ds</t>
  </si>
  <si>
    <t>5 dari 31</t>
  </si>
  <si>
    <t>TIA SETIAWAN, M.Ak</t>
  </si>
  <si>
    <t>43 dari 104</t>
  </si>
  <si>
    <t>KIKI YULIA RAMADHANI, SE., M.Tr.E</t>
  </si>
  <si>
    <t>111 dari 231</t>
  </si>
  <si>
    <t>HERNY NURHAYATI, SE., MM., M.Si</t>
  </si>
  <si>
    <t>78 dari 136</t>
  </si>
  <si>
    <t>MUHAMMAD KHOIDIR, M.Ed</t>
  </si>
  <si>
    <t>66 dari 163</t>
  </si>
  <si>
    <t>RATIH ALIFAH PUTRI, S.Ds., M.Ds</t>
  </si>
  <si>
    <t>14 dari 34</t>
  </si>
  <si>
    <t>GLYNAE WIDYAWATI, SE., MM</t>
  </si>
  <si>
    <t>38 dari 128</t>
  </si>
  <si>
    <t>RIZKA NURHANA DEWI, M.Ds</t>
  </si>
  <si>
    <t>55 dari 147</t>
  </si>
  <si>
    <t>3.90</t>
  </si>
  <si>
    <t>ESA HARI AKBAR, M.Sn</t>
  </si>
  <si>
    <t>47 dari 120</t>
  </si>
  <si>
    <t>3.47</t>
  </si>
  <si>
    <t>YANI FITRIYANI, M.Pd</t>
  </si>
  <si>
    <t>48 dari 238</t>
  </si>
  <si>
    <t>ACTIVA NURALAM ALAMSYAH, S.Psi., M.Pd</t>
  </si>
  <si>
    <t>71 dari 140</t>
  </si>
  <si>
    <t>DENDI HUDAYA, SS., M.Pd</t>
  </si>
  <si>
    <t>80 dari 121</t>
  </si>
  <si>
    <t>Dr. TANTAN HADIAN, S.Pd., M.Pkim</t>
  </si>
  <si>
    <t>115 dari 181</t>
  </si>
  <si>
    <t>A.HENDRIANA, S.Pd.I., M.Pd</t>
  </si>
  <si>
    <t>41 dari 65</t>
  </si>
  <si>
    <t>3.74</t>
  </si>
  <si>
    <t>ALI YULIANTO, M.Pd</t>
  </si>
  <si>
    <t>52 dari 99</t>
  </si>
  <si>
    <t>3.63</t>
  </si>
  <si>
    <t>LUKMAN HAKIM MUHAIMIN, M.Pd</t>
  </si>
  <si>
    <t>124 dari 252</t>
  </si>
  <si>
    <t>149 dari 219</t>
  </si>
  <si>
    <t>Rahmat Hidayat, S.Kom., M.Kom</t>
  </si>
  <si>
    <t>153 dari 252</t>
  </si>
  <si>
    <t>MUSTAR AMAN, M.Kom</t>
  </si>
  <si>
    <t>116 dari 200</t>
  </si>
  <si>
    <t>Dr. Ir. IDI NAMARA, S.T., M.T., IPU</t>
  </si>
  <si>
    <t>75 dari 121</t>
  </si>
  <si>
    <t>NIKO SUWARYO, S.Kom., M.Sc</t>
  </si>
  <si>
    <t>97 dari 170</t>
  </si>
  <si>
    <t>Assoc. Prof. Dr. ENTIT PUSPITA, S.Pd., M.Si., M.Si.</t>
  </si>
  <si>
    <t>96 dari 192</t>
  </si>
  <si>
    <t>Dr. CHAERUR ROZIKIN, S.Kom., M.Kom</t>
  </si>
  <si>
    <t>168 dari 258</t>
  </si>
  <si>
    <t>Assoc. Prof. Dr. ADHI KUSNADI, ST, M.Si.</t>
  </si>
  <si>
    <t>273 dari 398</t>
  </si>
  <si>
    <t>3.89</t>
  </si>
  <si>
    <t>Dr ASWAN SUPRIYADI SUNGE</t>
  </si>
  <si>
    <t>19 dari 36</t>
  </si>
  <si>
    <t>HANDALA SIMETRIS HARAHAP, ST., M.T.I</t>
  </si>
  <si>
    <t>ZIA IMAM PERDANA, M.Kom</t>
  </si>
  <si>
    <t>186 dari 304</t>
  </si>
  <si>
    <t>127 dari 237</t>
  </si>
  <si>
    <t>YOSIA CLINTON PURBA, ST., MT</t>
  </si>
  <si>
    <t>145 dari 219</t>
  </si>
  <si>
    <t>3.78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</si>
</sst>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Source Sans Pro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u/>
      <sz val="9"/>
      <color rgb="FF000000"/>
      <name val="Arial"/>
      <family val="2"/>
    </font>
    <font>
      <sz val="11"/>
      <color rgb="FFFF0000"/>
      <name val="Calibri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Rockwell"/>
      <family val="1"/>
    </font>
    <font>
      <sz val="11"/>
      <color rgb="FF333333"/>
      <name val="Rockwell"/>
      <family val="1"/>
    </font>
    <font>
      <sz val="11"/>
      <color rgb="FF000000"/>
      <name val="Rockwell"/>
      <family val="1"/>
    </font>
    <font>
      <sz val="11"/>
      <name val="Rockwell"/>
      <family val="1"/>
    </font>
    <font>
      <sz val="11"/>
      <color rgb="FFFF0000"/>
      <name val="Rockwell"/>
      <family val="1"/>
    </font>
    <font>
      <sz val="11"/>
      <color rgb="FFFFFF00"/>
      <name val="Rockwell"/>
      <family val="1"/>
    </font>
    <font>
      <sz val="11"/>
      <color rgb="FF00000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74">
    <xf numFmtId="0" fontId="0" fillId="0" borderId="0"/>
    <xf numFmtId="0" fontId="8" fillId="0" borderId="1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0" borderId="11" applyNumberFormat="0" applyFill="0" applyAlignment="0" applyProtection="0"/>
    <xf numFmtId="0" fontId="22" fillId="6" borderId="12" applyNumberFormat="0" applyAlignment="0" applyProtection="0"/>
    <xf numFmtId="0" fontId="23" fillId="7" borderId="13" applyNumberFormat="0" applyAlignment="0" applyProtection="0"/>
    <xf numFmtId="0" fontId="24" fillId="7" borderId="12" applyNumberFormat="0" applyAlignment="0" applyProtection="0"/>
    <xf numFmtId="0" fontId="25" fillId="0" borderId="14" applyNumberFormat="0" applyFill="0" applyAlignment="0" applyProtection="0"/>
    <xf numFmtId="0" fontId="26" fillId="8" borderId="15" applyNumberFormat="0" applyAlignment="0" applyProtection="0"/>
    <xf numFmtId="0" fontId="29" fillId="0" borderId="17" applyNumberFormat="0" applyFill="0" applyAlignment="0" applyProtection="0"/>
    <xf numFmtId="0" fontId="6" fillId="0" borderId="1"/>
    <xf numFmtId="0" fontId="15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9" fillId="3" borderId="1" applyNumberFormat="0" applyBorder="0" applyAlignment="0" applyProtection="0"/>
    <xf numFmtId="0" fontId="20" fillId="4" borderId="1" applyNumberFormat="0" applyBorder="0" applyAlignment="0" applyProtection="0"/>
    <xf numFmtId="0" fontId="21" fillId="5" borderId="1" applyNumberFormat="0" applyBorder="0" applyAlignment="0" applyProtection="0"/>
    <xf numFmtId="0" fontId="27" fillId="0" borderId="1" applyNumberFormat="0" applyFill="0" applyBorder="0" applyAlignment="0" applyProtection="0"/>
    <xf numFmtId="0" fontId="6" fillId="9" borderId="16" applyNumberFormat="0" applyFont="0" applyAlignment="0" applyProtection="0"/>
    <xf numFmtId="0" fontId="28" fillId="0" borderId="1" applyNumberFormat="0" applyFill="0" applyBorder="0" applyAlignment="0" applyProtection="0"/>
    <xf numFmtId="0" fontId="30" fillId="10" borderId="1" applyNumberFormat="0" applyBorder="0" applyAlignment="0" applyProtection="0"/>
    <xf numFmtId="0" fontId="6" fillId="11" borderId="1" applyNumberFormat="0" applyBorder="0" applyAlignment="0" applyProtection="0"/>
    <xf numFmtId="0" fontId="6" fillId="12" borderId="1" applyNumberFormat="0" applyBorder="0" applyAlignment="0" applyProtection="0"/>
    <xf numFmtId="0" fontId="6" fillId="13" borderId="1" applyNumberFormat="0" applyBorder="0" applyAlignment="0" applyProtection="0"/>
    <xf numFmtId="0" fontId="30" fillId="14" borderId="1" applyNumberFormat="0" applyBorder="0" applyAlignment="0" applyProtection="0"/>
    <xf numFmtId="0" fontId="6" fillId="15" borderId="1" applyNumberFormat="0" applyBorder="0" applyAlignment="0" applyProtection="0"/>
    <xf numFmtId="0" fontId="6" fillId="16" borderId="1" applyNumberFormat="0" applyBorder="0" applyAlignment="0" applyProtection="0"/>
    <xf numFmtId="0" fontId="6" fillId="17" borderId="1" applyNumberFormat="0" applyBorder="0" applyAlignment="0" applyProtection="0"/>
    <xf numFmtId="0" fontId="30" fillId="18" borderId="1" applyNumberFormat="0" applyBorder="0" applyAlignment="0" applyProtection="0"/>
    <xf numFmtId="0" fontId="6" fillId="19" borderId="1" applyNumberFormat="0" applyBorder="0" applyAlignment="0" applyProtection="0"/>
    <xf numFmtId="0" fontId="6" fillId="20" borderId="1" applyNumberFormat="0" applyBorder="0" applyAlignment="0" applyProtection="0"/>
    <xf numFmtId="0" fontId="6" fillId="21" borderId="1" applyNumberFormat="0" applyBorder="0" applyAlignment="0" applyProtection="0"/>
    <xf numFmtId="0" fontId="30" fillId="22" borderId="1" applyNumberFormat="0" applyBorder="0" applyAlignment="0" applyProtection="0"/>
    <xf numFmtId="0" fontId="6" fillId="23" borderId="1" applyNumberFormat="0" applyBorder="0" applyAlignment="0" applyProtection="0"/>
    <xf numFmtId="0" fontId="6" fillId="24" borderId="1" applyNumberFormat="0" applyBorder="0" applyAlignment="0" applyProtection="0"/>
    <xf numFmtId="0" fontId="6" fillId="25" borderId="1" applyNumberFormat="0" applyBorder="0" applyAlignment="0" applyProtection="0"/>
    <xf numFmtId="0" fontId="30" fillId="26" borderId="1" applyNumberFormat="0" applyBorder="0" applyAlignment="0" applyProtection="0"/>
    <xf numFmtId="0" fontId="6" fillId="27" borderId="1" applyNumberFormat="0" applyBorder="0" applyAlignment="0" applyProtection="0"/>
    <xf numFmtId="0" fontId="6" fillId="28" borderId="1" applyNumberFormat="0" applyBorder="0" applyAlignment="0" applyProtection="0"/>
    <xf numFmtId="0" fontId="6" fillId="29" borderId="1" applyNumberFormat="0" applyBorder="0" applyAlignment="0" applyProtection="0"/>
    <xf numFmtId="0" fontId="30" fillId="30" borderId="1" applyNumberFormat="0" applyBorder="0" applyAlignment="0" applyProtection="0"/>
    <xf numFmtId="0" fontId="6" fillId="31" borderId="1" applyNumberFormat="0" applyBorder="0" applyAlignment="0" applyProtection="0"/>
    <xf numFmtId="0" fontId="6" fillId="32" borderId="1" applyNumberFormat="0" applyBorder="0" applyAlignment="0" applyProtection="0"/>
    <xf numFmtId="0" fontId="6" fillId="33" borderId="1" applyNumberFormat="0" applyBorder="0" applyAlignment="0" applyProtection="0"/>
    <xf numFmtId="0" fontId="5" fillId="0" borderId="1"/>
    <xf numFmtId="0" fontId="5" fillId="9" borderId="16" applyNumberFormat="0" applyFont="0" applyAlignment="0" applyProtection="0"/>
    <xf numFmtId="0" fontId="5" fillId="11" borderId="1" applyNumberFormat="0" applyBorder="0" applyAlignment="0" applyProtection="0"/>
    <xf numFmtId="0" fontId="5" fillId="12" borderId="1" applyNumberFormat="0" applyBorder="0" applyAlignment="0" applyProtection="0"/>
    <xf numFmtId="0" fontId="5" fillId="13" borderId="1" applyNumberFormat="0" applyBorder="0" applyAlignment="0" applyProtection="0"/>
    <xf numFmtId="0" fontId="5" fillId="15" borderId="1" applyNumberFormat="0" applyBorder="0" applyAlignment="0" applyProtection="0"/>
    <xf numFmtId="0" fontId="5" fillId="16" borderId="1" applyNumberFormat="0" applyBorder="0" applyAlignment="0" applyProtection="0"/>
    <xf numFmtId="0" fontId="5" fillId="17" borderId="1" applyNumberFormat="0" applyBorder="0" applyAlignment="0" applyProtection="0"/>
    <xf numFmtId="0" fontId="5" fillId="19" borderId="1" applyNumberFormat="0" applyBorder="0" applyAlignment="0" applyProtection="0"/>
    <xf numFmtId="0" fontId="5" fillId="20" borderId="1" applyNumberFormat="0" applyBorder="0" applyAlignment="0" applyProtection="0"/>
    <xf numFmtId="0" fontId="5" fillId="21" borderId="1" applyNumberFormat="0" applyBorder="0" applyAlignment="0" applyProtection="0"/>
    <xf numFmtId="0" fontId="5" fillId="23" borderId="1" applyNumberFormat="0" applyBorder="0" applyAlignment="0" applyProtection="0"/>
    <xf numFmtId="0" fontId="5" fillId="24" borderId="1" applyNumberFormat="0" applyBorder="0" applyAlignment="0" applyProtection="0"/>
    <xf numFmtId="0" fontId="5" fillId="25" borderId="1" applyNumberFormat="0" applyBorder="0" applyAlignment="0" applyProtection="0"/>
    <xf numFmtId="0" fontId="5" fillId="27" borderId="1" applyNumberFormat="0" applyBorder="0" applyAlignment="0" applyProtection="0"/>
    <xf numFmtId="0" fontId="5" fillId="28" borderId="1" applyNumberFormat="0" applyBorder="0" applyAlignment="0" applyProtection="0"/>
    <xf numFmtId="0" fontId="5" fillId="29" borderId="1" applyNumberFormat="0" applyBorder="0" applyAlignment="0" applyProtection="0"/>
    <xf numFmtId="0" fontId="5" fillId="31" borderId="1" applyNumberFormat="0" applyBorder="0" applyAlignment="0" applyProtection="0"/>
    <xf numFmtId="0" fontId="5" fillId="32" borderId="1" applyNumberFormat="0" applyBorder="0" applyAlignment="0" applyProtection="0"/>
    <xf numFmtId="0" fontId="5" fillId="33" borderId="1" applyNumberFormat="0" applyBorder="0" applyAlignment="0" applyProtection="0"/>
    <xf numFmtId="0" fontId="4" fillId="0" borderId="1"/>
    <xf numFmtId="0" fontId="4" fillId="9" borderId="16" applyNumberFormat="0" applyFont="0" applyAlignment="0" applyProtection="0"/>
    <xf numFmtId="0" fontId="4" fillId="11" borderId="1" applyNumberFormat="0" applyBorder="0" applyAlignment="0" applyProtection="0"/>
    <xf numFmtId="0" fontId="4" fillId="12" borderId="1" applyNumberFormat="0" applyBorder="0" applyAlignment="0" applyProtection="0"/>
    <xf numFmtId="0" fontId="4" fillId="13" borderId="1" applyNumberFormat="0" applyBorder="0" applyAlignment="0" applyProtection="0"/>
    <xf numFmtId="0" fontId="4" fillId="15" borderId="1" applyNumberFormat="0" applyBorder="0" applyAlignment="0" applyProtection="0"/>
    <xf numFmtId="0" fontId="4" fillId="16" borderId="1" applyNumberFormat="0" applyBorder="0" applyAlignment="0" applyProtection="0"/>
    <xf numFmtId="0" fontId="4" fillId="17" borderId="1" applyNumberFormat="0" applyBorder="0" applyAlignment="0" applyProtection="0"/>
    <xf numFmtId="0" fontId="4" fillId="19" borderId="1" applyNumberFormat="0" applyBorder="0" applyAlignment="0" applyProtection="0"/>
    <xf numFmtId="0" fontId="4" fillId="20" borderId="1" applyNumberFormat="0" applyBorder="0" applyAlignment="0" applyProtection="0"/>
    <xf numFmtId="0" fontId="4" fillId="21" borderId="1" applyNumberFormat="0" applyBorder="0" applyAlignment="0" applyProtection="0"/>
    <xf numFmtId="0" fontId="4" fillId="23" borderId="1" applyNumberFormat="0" applyBorder="0" applyAlignment="0" applyProtection="0"/>
    <xf numFmtId="0" fontId="4" fillId="24" borderId="1" applyNumberFormat="0" applyBorder="0" applyAlignment="0" applyProtection="0"/>
    <xf numFmtId="0" fontId="4" fillId="25" borderId="1" applyNumberFormat="0" applyBorder="0" applyAlignment="0" applyProtection="0"/>
    <xf numFmtId="0" fontId="4" fillId="27" borderId="1" applyNumberFormat="0" applyBorder="0" applyAlignment="0" applyProtection="0"/>
    <xf numFmtId="0" fontId="4" fillId="28" borderId="1" applyNumberFormat="0" applyBorder="0" applyAlignment="0" applyProtection="0"/>
    <xf numFmtId="0" fontId="4" fillId="29" borderId="1" applyNumberFormat="0" applyBorder="0" applyAlignment="0" applyProtection="0"/>
    <xf numFmtId="0" fontId="4" fillId="31" borderId="1" applyNumberFormat="0" applyBorder="0" applyAlignment="0" applyProtection="0"/>
    <xf numFmtId="0" fontId="4" fillId="32" borderId="1" applyNumberFormat="0" applyBorder="0" applyAlignment="0" applyProtection="0"/>
    <xf numFmtId="0" fontId="4" fillId="33" borderId="1" applyNumberFormat="0" applyBorder="0" applyAlignment="0" applyProtection="0"/>
    <xf numFmtId="0" fontId="3" fillId="0" borderId="1"/>
    <xf numFmtId="0" fontId="2" fillId="0" borderId="1"/>
    <xf numFmtId="0" fontId="2" fillId="9" borderId="16" applyNumberFormat="0" applyFont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2" fillId="13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2" fillId="17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2" fillId="21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2" fillId="25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2" fillId="29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2" fillId="33" borderId="1" applyNumberFormat="0" applyBorder="0" applyAlignment="0" applyProtection="0"/>
    <xf numFmtId="0" fontId="2" fillId="0" borderId="1"/>
    <xf numFmtId="0" fontId="2" fillId="9" borderId="16" applyNumberFormat="0" applyFont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2" fillId="13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2" fillId="17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2" fillId="21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2" fillId="25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2" fillId="29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2" fillId="33" borderId="1" applyNumberFormat="0" applyBorder="0" applyAlignment="0" applyProtection="0"/>
    <xf numFmtId="0" fontId="2" fillId="0" borderId="1"/>
    <xf numFmtId="0" fontId="2" fillId="9" borderId="16" applyNumberFormat="0" applyFont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2" fillId="13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2" fillId="17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2" fillId="21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2" fillId="25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2" fillId="29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2" fillId="33" borderId="1" applyNumberFormat="0" applyBorder="0" applyAlignment="0" applyProtection="0"/>
    <xf numFmtId="0" fontId="2" fillId="0" borderId="1"/>
    <xf numFmtId="0" fontId="2" fillId="0" borderId="1"/>
    <xf numFmtId="0" fontId="2" fillId="0" borderId="1"/>
    <xf numFmtId="0" fontId="37" fillId="0" borderId="1"/>
    <xf numFmtId="0" fontId="1" fillId="0" borderId="1"/>
    <xf numFmtId="0" fontId="1" fillId="9" borderId="16" applyNumberFormat="0" applyFont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3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7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1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5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29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33" borderId="1" applyNumberFormat="0" applyBorder="0" applyAlignment="0" applyProtection="0"/>
    <xf numFmtId="0" fontId="1" fillId="0" borderId="1"/>
    <xf numFmtId="0" fontId="1" fillId="9" borderId="16" applyNumberFormat="0" applyFont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3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7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1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5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29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33" borderId="1" applyNumberFormat="0" applyBorder="0" applyAlignment="0" applyProtection="0"/>
    <xf numFmtId="0" fontId="1" fillId="0" borderId="1"/>
    <xf numFmtId="0" fontId="1" fillId="9" borderId="16" applyNumberFormat="0" applyFont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3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7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1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5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29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33" borderId="1" applyNumberFormat="0" applyBorder="0" applyAlignment="0" applyProtection="0"/>
    <xf numFmtId="0" fontId="1" fillId="0" borderId="1"/>
    <xf numFmtId="0" fontId="1" fillId="0" borderId="1"/>
    <xf numFmtId="0" fontId="1" fillId="9" borderId="16" applyNumberFormat="0" applyFont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3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7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1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5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29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33" borderId="1" applyNumberFormat="0" applyBorder="0" applyAlignment="0" applyProtection="0"/>
    <xf numFmtId="0" fontId="1" fillId="0" borderId="1"/>
    <xf numFmtId="0" fontId="1" fillId="9" borderId="16" applyNumberFormat="0" applyFont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3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7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1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5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29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33" borderId="1" applyNumberFormat="0" applyBorder="0" applyAlignment="0" applyProtection="0"/>
    <xf numFmtId="0" fontId="1" fillId="0" borderId="1"/>
    <xf numFmtId="0" fontId="1" fillId="9" borderId="16" applyNumberFormat="0" applyFont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3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7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1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5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29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33" borderId="1" applyNumberFormat="0" applyBorder="0" applyAlignment="0" applyProtection="0"/>
    <xf numFmtId="0" fontId="1" fillId="0" borderId="1"/>
    <xf numFmtId="0" fontId="1" fillId="0" borderId="1"/>
    <xf numFmtId="0" fontId="1" fillId="0" borderId="1"/>
    <xf numFmtId="9" fontId="37" fillId="0" borderId="1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8" fillId="0" borderId="0" xfId="0" applyFont="1"/>
    <xf numFmtId="0" fontId="9" fillId="0" borderId="3" xfId="0" applyFont="1" applyBorder="1" applyAlignment="1">
      <alignment horizontal="center" vertical="top" wrapText="1"/>
    </xf>
    <xf numFmtId="0" fontId="10" fillId="0" borderId="1" xfId="1" applyFont="1" applyAlignment="1">
      <alignment vertical="top" wrapText="1"/>
    </xf>
    <xf numFmtId="0" fontId="10" fillId="0" borderId="1" xfId="1" applyFont="1" applyAlignment="1">
      <alignment horizontal="center" vertical="top" wrapText="1"/>
    </xf>
    <xf numFmtId="0" fontId="10" fillId="0" borderId="1" xfId="1" applyFont="1"/>
    <xf numFmtId="0" fontId="8" fillId="0" borderId="1" xfId="1"/>
    <xf numFmtId="0" fontId="10" fillId="0" borderId="1" xfId="1" applyFont="1" applyAlignment="1">
      <alignment horizontal="left" vertical="top" wrapText="1"/>
    </xf>
    <xf numFmtId="0" fontId="10" fillId="0" borderId="1" xfId="1" applyFont="1" applyAlignment="1">
      <alignment vertical="top"/>
    </xf>
    <xf numFmtId="0" fontId="11" fillId="0" borderId="1" xfId="1" applyFont="1" applyAlignment="1">
      <alignment vertical="top"/>
    </xf>
    <xf numFmtId="0" fontId="10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left" vertical="top"/>
    </xf>
    <xf numFmtId="0" fontId="10" fillId="0" borderId="2" xfId="1" applyFont="1" applyBorder="1" applyAlignment="1">
      <alignment horizontal="left" vertical="center"/>
    </xf>
    <xf numFmtId="0" fontId="10" fillId="0" borderId="2" xfId="1" applyFont="1" applyBorder="1" applyAlignment="1">
      <alignment horizontal="left" vertical="top" wrapText="1"/>
    </xf>
    <xf numFmtId="0" fontId="11" fillId="0" borderId="1" xfId="1" applyFont="1"/>
    <xf numFmtId="0" fontId="10" fillId="0" borderId="1" xfId="1" applyFont="1" applyAlignment="1">
      <alignment wrapText="1"/>
    </xf>
    <xf numFmtId="2" fontId="10" fillId="0" borderId="5" xfId="1" applyNumberFormat="1" applyFont="1" applyBorder="1"/>
    <xf numFmtId="0" fontId="10" fillId="0" borderId="6" xfId="1" applyFont="1" applyBorder="1" applyAlignment="1">
      <alignment horizontal="left"/>
    </xf>
    <xf numFmtId="0" fontId="10" fillId="0" borderId="1" xfId="1" applyFont="1" applyAlignment="1">
      <alignment horizontal="right" vertical="top" wrapText="1"/>
    </xf>
    <xf numFmtId="0" fontId="10" fillId="0" borderId="5" xfId="1" applyFont="1" applyBorder="1"/>
    <xf numFmtId="0" fontId="13" fillId="0" borderId="1" xfId="1" applyFont="1" applyAlignment="1">
      <alignment horizontal="left" vertical="top" wrapText="1"/>
    </xf>
    <xf numFmtId="0" fontId="10" fillId="0" borderId="7" xfId="1" applyFont="1" applyBorder="1"/>
    <xf numFmtId="0" fontId="10" fillId="0" borderId="8" xfId="1" applyFont="1" applyBorder="1" applyAlignment="1">
      <alignment horizontal="left"/>
    </xf>
    <xf numFmtId="0" fontId="10" fillId="0" borderId="5" xfId="1" applyFont="1" applyBorder="1" applyAlignment="1">
      <alignment horizontal="right" vertical="top" wrapText="1"/>
    </xf>
    <xf numFmtId="2" fontId="10" fillId="0" borderId="6" xfId="1" applyNumberFormat="1" applyFont="1" applyBorder="1" applyAlignment="1">
      <alignment horizontal="left" vertical="top" wrapText="1"/>
    </xf>
    <xf numFmtId="2" fontId="10" fillId="0" borderId="1" xfId="1" applyNumberFormat="1" applyFont="1"/>
    <xf numFmtId="0" fontId="11" fillId="0" borderId="1" xfId="1" applyFont="1" applyAlignment="1">
      <alignment horizontal="right"/>
    </xf>
    <xf numFmtId="0" fontId="11" fillId="0" borderId="1" xfId="1" applyFont="1" applyAlignment="1">
      <alignment horizontal="center" vertical="center"/>
    </xf>
    <xf numFmtId="0" fontId="10" fillId="0" borderId="2" xfId="1" applyFont="1" applyBorder="1" applyAlignment="1">
      <alignment horizontal="right" vertical="top"/>
    </xf>
    <xf numFmtId="0" fontId="0" fillId="2" borderId="0" xfId="0" applyFill="1"/>
    <xf numFmtId="1" fontId="0" fillId="2" borderId="0" xfId="0" applyNumberFormat="1" applyFill="1"/>
    <xf numFmtId="0" fontId="8" fillId="2" borderId="0" xfId="0" applyFont="1" applyFill="1"/>
    <xf numFmtId="0" fontId="31" fillId="34" borderId="2" xfId="0" applyFont="1" applyFill="1" applyBorder="1"/>
    <xf numFmtId="0" fontId="7" fillId="34" borderId="2" xfId="0" applyFont="1" applyFill="1" applyBorder="1" applyAlignment="1">
      <alignment horizontal="center" vertical="center"/>
    </xf>
    <xf numFmtId="0" fontId="14" fillId="34" borderId="2" xfId="0" applyFont="1" applyFill="1" applyBorder="1" applyAlignment="1">
      <alignment horizontal="center" vertical="center"/>
    </xf>
    <xf numFmtId="0" fontId="12" fillId="34" borderId="2" xfId="0" applyFont="1" applyFill="1" applyBorder="1" applyAlignment="1">
      <alignment horizontal="center" vertical="center"/>
    </xf>
    <xf numFmtId="0" fontId="7" fillId="34" borderId="2" xfId="0" applyFont="1" applyFill="1" applyBorder="1"/>
    <xf numFmtId="0" fontId="32" fillId="34" borderId="2" xfId="0" applyFont="1" applyFill="1" applyBorder="1"/>
    <xf numFmtId="164" fontId="33" fillId="34" borderId="2" xfId="0" applyNumberFormat="1" applyFont="1" applyFill="1" applyBorder="1" applyAlignment="1">
      <alignment horizontal="right" wrapText="1"/>
    </xf>
    <xf numFmtId="0" fontId="33" fillId="34" borderId="2" xfId="0" applyFont="1" applyFill="1" applyBorder="1" applyAlignment="1">
      <alignment wrapText="1"/>
    </xf>
    <xf numFmtId="0" fontId="33" fillId="34" borderId="2" xfId="0" applyFont="1" applyFill="1" applyBorder="1"/>
    <xf numFmtId="1" fontId="31" fillId="34" borderId="2" xfId="0" applyNumberFormat="1" applyFont="1" applyFill="1" applyBorder="1" applyAlignment="1">
      <alignment horizontal="center" vertical="center"/>
    </xf>
    <xf numFmtId="0" fontId="32" fillId="34" borderId="0" xfId="0" applyFont="1" applyFill="1"/>
    <xf numFmtId="1" fontId="31" fillId="34" borderId="2" xfId="1" applyNumberFormat="1" applyFont="1" applyFill="1" applyBorder="1" applyAlignment="1">
      <alignment horizontal="center" vertical="center"/>
    </xf>
    <xf numFmtId="0" fontId="31" fillId="34" borderId="2" xfId="1" applyFont="1" applyFill="1" applyBorder="1" applyAlignment="1">
      <alignment horizontal="left"/>
    </xf>
    <xf numFmtId="0" fontId="31" fillId="34" borderId="2" xfId="1" applyFont="1" applyFill="1" applyBorder="1" applyAlignment="1">
      <alignment horizontal="left" vertical="center"/>
    </xf>
    <xf numFmtId="0" fontId="31" fillId="34" borderId="2" xfId="0" applyFont="1" applyFill="1" applyBorder="1" applyAlignment="1">
      <alignment horizontal="center" vertical="center"/>
    </xf>
    <xf numFmtId="0" fontId="35" fillId="34" borderId="2" xfId="0" applyFont="1" applyFill="1" applyBorder="1" applyAlignment="1">
      <alignment horizontal="center" vertical="center"/>
    </xf>
    <xf numFmtId="0" fontId="34" fillId="34" borderId="2" xfId="0" applyFont="1" applyFill="1" applyBorder="1" applyAlignment="1">
      <alignment horizontal="center" vertical="center"/>
    </xf>
    <xf numFmtId="0" fontId="33" fillId="34" borderId="2" xfId="0" applyFont="1" applyFill="1" applyBorder="1" applyAlignment="1">
      <alignment horizontal="center"/>
    </xf>
    <xf numFmtId="0" fontId="33" fillId="34" borderId="2" xfId="0" applyFont="1" applyFill="1" applyBorder="1" applyAlignment="1">
      <alignment horizontal="center" vertical="center"/>
    </xf>
    <xf numFmtId="0" fontId="33" fillId="34" borderId="2" xfId="1" applyFont="1" applyFill="1" applyBorder="1" applyAlignment="1">
      <alignment horizontal="center" vertical="center" wrapText="1"/>
    </xf>
    <xf numFmtId="0" fontId="33" fillId="34" borderId="2" xfId="0" applyFont="1" applyFill="1" applyBorder="1" applyAlignment="1">
      <alignment horizontal="center" vertical="center" wrapText="1"/>
    </xf>
    <xf numFmtId="0" fontId="31" fillId="34" borderId="2" xfId="0" applyFont="1" applyFill="1" applyBorder="1" applyAlignment="1">
      <alignment horizontal="left" vertical="center"/>
    </xf>
    <xf numFmtId="0" fontId="33" fillId="34" borderId="2" xfId="0" applyFont="1" applyFill="1" applyBorder="1" applyAlignment="1">
      <alignment horizontal="left" vertical="center"/>
    </xf>
    <xf numFmtId="0" fontId="33" fillId="34" borderId="2" xfId="1" applyFont="1" applyFill="1" applyBorder="1" applyAlignment="1">
      <alignment horizontal="left" vertical="center"/>
    </xf>
    <xf numFmtId="0" fontId="33" fillId="34" borderId="2" xfId="0" applyFont="1" applyFill="1" applyBorder="1" applyAlignment="1">
      <alignment horizontal="left" wrapText="1"/>
    </xf>
    <xf numFmtId="0" fontId="33" fillId="34" borderId="2" xfId="1" applyFont="1" applyFill="1" applyBorder="1" applyAlignment="1">
      <alignment horizontal="left"/>
    </xf>
    <xf numFmtId="0" fontId="31" fillId="34" borderId="2" xfId="0" applyFont="1" applyFill="1" applyBorder="1" applyAlignment="1">
      <alignment horizontal="left"/>
    </xf>
    <xf numFmtId="164" fontId="31" fillId="34" borderId="2" xfId="0" applyNumberFormat="1" applyFont="1" applyFill="1" applyBorder="1" applyAlignment="1">
      <alignment horizontal="center" vertical="center"/>
    </xf>
    <xf numFmtId="164" fontId="31" fillId="34" borderId="2" xfId="1" applyNumberFormat="1" applyFont="1" applyFill="1" applyBorder="1" applyAlignment="1">
      <alignment horizontal="center" vertical="center"/>
    </xf>
    <xf numFmtId="164" fontId="33" fillId="34" borderId="2" xfId="0" applyNumberFormat="1" applyFont="1" applyFill="1" applyBorder="1" applyAlignment="1">
      <alignment horizontal="center" vertical="center"/>
    </xf>
    <xf numFmtId="164" fontId="33" fillId="34" borderId="2" xfId="0" applyNumberFormat="1" applyFont="1" applyFill="1" applyBorder="1" applyAlignment="1">
      <alignment horizontal="center" vertical="center" wrapText="1"/>
    </xf>
    <xf numFmtId="0" fontId="32" fillId="34" borderId="2" xfId="0" applyFont="1" applyFill="1" applyBorder="1" applyAlignment="1">
      <alignment horizontal="left" vertical="center"/>
    </xf>
    <xf numFmtId="0" fontId="32" fillId="34" borderId="2" xfId="1" applyFont="1" applyFill="1" applyBorder="1" applyAlignment="1">
      <alignment horizontal="left" vertical="center"/>
    </xf>
    <xf numFmtId="0" fontId="31" fillId="34" borderId="2" xfId="11" applyFont="1" applyFill="1" applyBorder="1" applyAlignment="1">
      <alignment horizontal="left" vertical="center"/>
    </xf>
    <xf numFmtId="0" fontId="31" fillId="34" borderId="2" xfId="44" applyFont="1" applyFill="1" applyBorder="1" applyAlignment="1">
      <alignment horizontal="left" vertical="center"/>
    </xf>
    <xf numFmtId="0" fontId="31" fillId="34" borderId="2" xfId="64" applyFont="1" applyFill="1" applyBorder="1" applyAlignment="1">
      <alignment horizontal="left" vertical="top"/>
    </xf>
    <xf numFmtId="0" fontId="33" fillId="34" borderId="2" xfId="0" applyFont="1" applyFill="1" applyBorder="1" applyAlignment="1">
      <alignment horizontal="left" vertical="top"/>
    </xf>
    <xf numFmtId="0" fontId="31" fillId="34" borderId="2" xfId="0" applyFont="1" applyFill="1" applyBorder="1" applyAlignment="1">
      <alignment horizontal="left" vertical="top"/>
    </xf>
    <xf numFmtId="0" fontId="31" fillId="34" borderId="2" xfId="1" applyFont="1" applyFill="1" applyBorder="1" applyAlignment="1">
      <alignment horizontal="left" vertical="top"/>
    </xf>
    <xf numFmtId="2" fontId="31" fillId="34" borderId="2" xfId="0" applyNumberFormat="1" applyFont="1" applyFill="1" applyBorder="1" applyAlignment="1">
      <alignment horizontal="center" vertical="center"/>
    </xf>
    <xf numFmtId="0" fontId="31" fillId="34" borderId="2" xfId="0" applyFont="1" applyFill="1" applyBorder="1" applyAlignment="1">
      <alignment vertical="top"/>
    </xf>
    <xf numFmtId="0" fontId="31" fillId="34" borderId="2" xfId="146" applyFont="1" applyFill="1" applyBorder="1" applyAlignment="1">
      <alignment horizontal="left" vertical="center"/>
    </xf>
    <xf numFmtId="0" fontId="31" fillId="34" borderId="2" xfId="84" applyFont="1" applyFill="1" applyBorder="1" applyAlignment="1">
      <alignment horizontal="left" vertical="center"/>
    </xf>
    <xf numFmtId="0" fontId="31" fillId="34" borderId="2" xfId="148" applyFont="1" applyFill="1" applyBorder="1" applyAlignment="1">
      <alignment horizontal="center" vertical="center"/>
    </xf>
    <xf numFmtId="0" fontId="34" fillId="34" borderId="2" xfId="148" applyFont="1" applyFill="1" applyBorder="1" applyAlignment="1">
      <alignment horizontal="center" vertical="center"/>
    </xf>
    <xf numFmtId="0" fontId="33" fillId="34" borderId="2" xfId="148" applyFont="1" applyFill="1" applyBorder="1" applyAlignment="1">
      <alignment horizontal="center" vertical="center"/>
    </xf>
    <xf numFmtId="0" fontId="31" fillId="34" borderId="2" xfId="1" applyFont="1" applyFill="1" applyBorder="1" applyAlignment="1">
      <alignment horizontal="center" vertical="center"/>
    </xf>
    <xf numFmtId="1" fontId="31" fillId="34" borderId="2" xfId="273" applyNumberFormat="1" applyFont="1" applyFill="1" applyBorder="1" applyAlignment="1">
      <alignment horizontal="center" vertical="center"/>
    </xf>
    <xf numFmtId="0" fontId="31" fillId="34" borderId="2" xfId="273" applyNumberFormat="1" applyFont="1" applyFill="1" applyBorder="1" applyAlignment="1">
      <alignment horizontal="center" vertical="center"/>
    </xf>
    <xf numFmtId="0" fontId="31" fillId="34" borderId="2" xfId="148" quotePrefix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/>
    </xf>
    <xf numFmtId="0" fontId="10" fillId="0" borderId="2" xfId="1" applyFont="1" applyBorder="1"/>
    <xf numFmtId="0" fontId="31" fillId="34" borderId="2" xfId="0" applyFont="1" applyFill="1" applyBorder="1" applyAlignment="1">
      <alignment horizontal="center"/>
    </xf>
    <xf numFmtId="0" fontId="7" fillId="34" borderId="2" xfId="0" applyFont="1" applyFill="1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0" fillId="34" borderId="2" xfId="0" applyFill="1" applyBorder="1"/>
    <xf numFmtId="0" fontId="31" fillId="34" borderId="2" xfId="1" applyFont="1" applyFill="1" applyBorder="1"/>
    <xf numFmtId="2" fontId="33" fillId="34" borderId="2" xfId="0" applyNumberFormat="1" applyFont="1" applyFill="1" applyBorder="1" applyAlignment="1">
      <alignment horizontal="center"/>
    </xf>
    <xf numFmtId="0" fontId="33" fillId="34" borderId="18" xfId="1" applyFont="1" applyFill="1" applyBorder="1" applyAlignment="1">
      <alignment horizontal="center" vertical="center"/>
    </xf>
    <xf numFmtId="0" fontId="36" fillId="34" borderId="2" xfId="0" applyFont="1" applyFill="1" applyBorder="1" applyAlignment="1">
      <alignment horizontal="left" vertical="center"/>
    </xf>
    <xf numFmtId="0" fontId="33" fillId="34" borderId="2" xfId="0" applyFont="1" applyFill="1" applyBorder="1" applyAlignment="1">
      <alignment horizontal="left"/>
    </xf>
    <xf numFmtId="0" fontId="0" fillId="34" borderId="2" xfId="0" applyFill="1" applyBorder="1" applyAlignment="1">
      <alignment wrapText="1"/>
    </xf>
    <xf numFmtId="1" fontId="7" fillId="34" borderId="2" xfId="0" applyNumberFormat="1" applyFont="1" applyFill="1" applyBorder="1" applyAlignment="1">
      <alignment horizontal="center"/>
    </xf>
    <xf numFmtId="0" fontId="9" fillId="34" borderId="2" xfId="64" applyFont="1" applyFill="1" applyBorder="1" applyAlignment="1">
      <alignment vertical="top" wrapText="1"/>
    </xf>
    <xf numFmtId="0" fontId="9" fillId="34" borderId="2" xfId="44" applyFont="1" applyFill="1" applyBorder="1" applyAlignment="1">
      <alignment vertical="top" wrapText="1"/>
    </xf>
    <xf numFmtId="0" fontId="8" fillId="34" borderId="2" xfId="0" applyFont="1" applyFill="1" applyBorder="1" applyAlignment="1">
      <alignment wrapText="1"/>
    </xf>
    <xf numFmtId="0" fontId="9" fillId="34" borderId="2" xfId="0" applyFont="1" applyFill="1" applyBorder="1" applyAlignment="1">
      <alignment vertical="top" wrapText="1"/>
    </xf>
    <xf numFmtId="0" fontId="33" fillId="0" borderId="2" xfId="0" applyFont="1" applyBorder="1" applyAlignment="1">
      <alignment horizontal="center" vertical="center" wrapText="1"/>
    </xf>
    <xf numFmtId="0" fontId="33" fillId="34" borderId="2" xfId="0" applyFont="1" applyFill="1" applyBorder="1" applyAlignment="1">
      <alignment horizontal="center" vertical="top"/>
    </xf>
    <xf numFmtId="0" fontId="31" fillId="35" borderId="2" xfId="0" applyFont="1" applyFill="1" applyBorder="1" applyAlignment="1">
      <alignment horizontal="center" vertical="center"/>
    </xf>
    <xf numFmtId="0" fontId="31" fillId="35" borderId="2" xfId="0" applyFont="1" applyFill="1" applyBorder="1" applyAlignment="1">
      <alignment horizontal="left" vertical="center"/>
    </xf>
    <xf numFmtId="0" fontId="31" fillId="35" borderId="2" xfId="0" applyFont="1" applyFill="1" applyBorder="1" applyAlignment="1">
      <alignment horizontal="left"/>
    </xf>
    <xf numFmtId="0" fontId="33" fillId="35" borderId="2" xfId="0" applyFont="1" applyFill="1" applyBorder="1" applyAlignment="1">
      <alignment horizontal="center" vertical="center"/>
    </xf>
    <xf numFmtId="0" fontId="31" fillId="35" borderId="2" xfId="148" applyFont="1" applyFill="1" applyBorder="1" applyAlignment="1">
      <alignment horizontal="center" vertical="center"/>
    </xf>
    <xf numFmtId="164" fontId="31" fillId="35" borderId="2" xfId="0" applyNumberFormat="1" applyFont="1" applyFill="1" applyBorder="1" applyAlignment="1">
      <alignment horizontal="center" vertical="center"/>
    </xf>
    <xf numFmtId="1" fontId="31" fillId="35" borderId="2" xfId="0" applyNumberFormat="1" applyFont="1" applyFill="1" applyBorder="1" applyAlignment="1">
      <alignment horizontal="center" vertical="center"/>
    </xf>
    <xf numFmtId="0" fontId="31" fillId="35" borderId="2" xfId="64" applyFont="1" applyFill="1" applyBorder="1" applyAlignment="1">
      <alignment horizontal="left" vertical="top"/>
    </xf>
    <xf numFmtId="0" fontId="32" fillId="35" borderId="2" xfId="0" applyFont="1" applyFill="1" applyBorder="1" applyAlignment="1">
      <alignment horizontal="left" vertical="center"/>
    </xf>
    <xf numFmtId="0" fontId="0" fillId="35" borderId="2" xfId="0" applyFill="1" applyBorder="1" applyAlignment="1">
      <alignment horizontal="center" vertical="center"/>
    </xf>
    <xf numFmtId="0" fontId="33" fillId="35" borderId="2" xfId="0" applyFont="1" applyFill="1" applyBorder="1" applyAlignment="1">
      <alignment horizontal="center" vertical="center" wrapText="1"/>
    </xf>
    <xf numFmtId="0" fontId="31" fillId="35" borderId="2" xfId="1" applyFont="1" applyFill="1" applyBorder="1" applyAlignment="1">
      <alignment horizontal="left" vertical="center"/>
    </xf>
    <xf numFmtId="0" fontId="31" fillId="35" borderId="2" xfId="1" applyFont="1" applyFill="1" applyBorder="1" applyAlignment="1">
      <alignment horizontal="left"/>
    </xf>
    <xf numFmtId="0" fontId="31" fillId="35" borderId="2" xfId="1" applyFont="1" applyFill="1" applyBorder="1" applyAlignment="1">
      <alignment horizontal="center" vertical="center"/>
    </xf>
    <xf numFmtId="0" fontId="33" fillId="35" borderId="2" xfId="1" applyFont="1" applyFill="1" applyBorder="1" applyAlignment="1">
      <alignment horizontal="center" vertical="center" wrapText="1"/>
    </xf>
    <xf numFmtId="164" fontId="31" fillId="35" borderId="2" xfId="1" applyNumberFormat="1" applyFont="1" applyFill="1" applyBorder="1" applyAlignment="1">
      <alignment horizontal="center" vertical="center"/>
    </xf>
    <xf numFmtId="1" fontId="31" fillId="35" borderId="2" xfId="1" applyNumberFormat="1" applyFont="1" applyFill="1" applyBorder="1" applyAlignment="1">
      <alignment horizontal="center" vertical="center"/>
    </xf>
    <xf numFmtId="0" fontId="31" fillId="35" borderId="2" xfId="1" applyFont="1" applyFill="1" applyBorder="1" applyAlignment="1">
      <alignment horizontal="left" vertical="top"/>
    </xf>
    <xf numFmtId="0" fontId="32" fillId="35" borderId="2" xfId="1" applyFont="1" applyFill="1" applyBorder="1" applyAlignment="1">
      <alignment horizontal="left" vertical="center"/>
    </xf>
    <xf numFmtId="0" fontId="31" fillId="35" borderId="2" xfId="0" applyFont="1" applyFill="1" applyBorder="1" applyAlignment="1">
      <alignment horizontal="left" vertical="top"/>
    </xf>
    <xf numFmtId="0" fontId="32" fillId="35" borderId="2" xfId="0" applyFont="1" applyFill="1" applyBorder="1" applyAlignment="1">
      <alignment horizontal="left" vertical="center" wrapText="1"/>
    </xf>
    <xf numFmtId="164" fontId="33" fillId="35" borderId="2" xfId="1" applyNumberFormat="1" applyFont="1" applyFill="1" applyBorder="1" applyAlignment="1">
      <alignment horizontal="center" vertical="center"/>
    </xf>
    <xf numFmtId="2" fontId="33" fillId="35" borderId="2" xfId="0" applyNumberFormat="1" applyFont="1" applyFill="1" applyBorder="1" applyAlignment="1">
      <alignment horizontal="center"/>
    </xf>
    <xf numFmtId="0" fontId="33" fillId="35" borderId="2" xfId="0" applyFont="1" applyFill="1" applyBorder="1" applyAlignment="1">
      <alignment horizontal="left" vertical="center"/>
    </xf>
    <xf numFmtId="0" fontId="33" fillId="35" borderId="18" xfId="1" applyFont="1" applyFill="1" applyBorder="1" applyAlignment="1">
      <alignment horizontal="center" vertical="center" wrapText="1"/>
    </xf>
    <xf numFmtId="0" fontId="33" fillId="35" borderId="2" xfId="1" applyFont="1" applyFill="1" applyBorder="1" applyAlignment="1">
      <alignment horizontal="left" vertical="center"/>
    </xf>
    <xf numFmtId="0" fontId="33" fillId="35" borderId="2" xfId="1" applyFont="1" applyFill="1" applyBorder="1" applyAlignment="1">
      <alignment horizontal="left"/>
    </xf>
    <xf numFmtId="0" fontId="33" fillId="35" borderId="2" xfId="148" applyFont="1" applyFill="1" applyBorder="1" applyAlignment="1">
      <alignment horizontal="center" vertical="center" wrapText="1"/>
    </xf>
    <xf numFmtId="164" fontId="33" fillId="35" borderId="2" xfId="0" applyNumberFormat="1" applyFont="1" applyFill="1" applyBorder="1" applyAlignment="1">
      <alignment horizontal="center" vertical="center" wrapText="1"/>
    </xf>
    <xf numFmtId="0" fontId="36" fillId="35" borderId="2" xfId="0" applyFont="1" applyFill="1" applyBorder="1" applyAlignment="1">
      <alignment horizontal="left" vertical="center"/>
    </xf>
    <xf numFmtId="0" fontId="31" fillId="35" borderId="2" xfId="44" applyFont="1" applyFill="1" applyBorder="1" applyAlignment="1">
      <alignment horizontal="left" vertical="center"/>
    </xf>
    <xf numFmtId="0" fontId="31" fillId="35" borderId="2" xfId="146" applyFont="1" applyFill="1" applyBorder="1" applyAlignment="1">
      <alignment horizontal="left" vertical="center"/>
    </xf>
    <xf numFmtId="0" fontId="0" fillId="35" borderId="2" xfId="0" applyFill="1" applyBorder="1"/>
    <xf numFmtId="0" fontId="31" fillId="35" borderId="2" xfId="11" applyFont="1" applyFill="1" applyBorder="1" applyAlignment="1">
      <alignment horizontal="left" vertical="center" wrapText="1"/>
    </xf>
    <xf numFmtId="0" fontId="33" fillId="35" borderId="2" xfId="0" applyFont="1" applyFill="1" applyBorder="1" applyAlignment="1">
      <alignment horizontal="center" vertical="top"/>
    </xf>
    <xf numFmtId="0" fontId="10" fillId="0" borderId="5" xfId="1" applyFont="1" applyBorder="1" applyAlignment="1">
      <alignment horizontal="left" vertical="top"/>
    </xf>
    <xf numFmtId="0" fontId="12" fillId="0" borderId="6" xfId="1" applyFont="1" applyBorder="1"/>
    <xf numFmtId="0" fontId="11" fillId="0" borderId="1" xfId="1" applyFont="1" applyAlignment="1">
      <alignment horizontal="center" vertical="top" wrapText="1"/>
    </xf>
    <xf numFmtId="0" fontId="8" fillId="0" borderId="1" xfId="1"/>
    <xf numFmtId="0" fontId="10" fillId="0" borderId="4" xfId="1" applyFont="1" applyBorder="1" applyAlignment="1">
      <alignment horizontal="center" vertical="top" wrapText="1"/>
    </xf>
    <xf numFmtId="0" fontId="11" fillId="0" borderId="1" xfId="1" applyFont="1" applyAlignment="1">
      <alignment horizontal="left"/>
    </xf>
    <xf numFmtId="0" fontId="11" fillId="0" borderId="5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/>
    </xf>
    <xf numFmtId="0" fontId="10" fillId="0" borderId="5" xfId="1" applyFont="1" applyBorder="1" applyAlignment="1">
      <alignment horizontal="left"/>
    </xf>
    <xf numFmtId="0" fontId="10" fillId="0" borderId="2" xfId="1" applyFont="1" applyBorder="1" applyAlignment="1">
      <alignment horizontal="left" vertical="top" wrapText="1"/>
    </xf>
  </cellXfs>
  <cellStyles count="274">
    <cellStyle name="20% - Aksen1 2" xfId="21" xr:uid="{49B044FC-A6E8-497A-90FD-189F369AE3D5}"/>
    <cellStyle name="20% - Aksen1 2 2" xfId="87" xr:uid="{10A754C7-4E64-40F0-9DDE-72EDD82E4CE4}"/>
    <cellStyle name="20% - Aksen1 2 2 2" xfId="212" xr:uid="{F6BADDE9-F800-4EC8-84F8-CED67637CC77}"/>
    <cellStyle name="20% - Aksen1 2 3" xfId="151" xr:uid="{FB840781-546C-4744-AE15-5B581068930A}"/>
    <cellStyle name="20% - Aksen1 3" xfId="46" xr:uid="{57BD5FE1-7F8B-4D4E-A470-A04FF586C7D1}"/>
    <cellStyle name="20% - Aksen1 3 2" xfId="107" xr:uid="{DB6804E8-BE07-464F-B52A-D224405F808F}"/>
    <cellStyle name="20% - Aksen1 3 2 2" xfId="232" xr:uid="{42614EE3-DC91-498B-BC1F-CB9D91434193}"/>
    <cellStyle name="20% - Aksen1 3 3" xfId="171" xr:uid="{B5F7D27B-B511-4AB8-B95C-2EEF799C2CFC}"/>
    <cellStyle name="20% - Aksen1 4" xfId="66" xr:uid="{F6BEB264-6BED-4F79-8162-D0E0C5635B5F}"/>
    <cellStyle name="20% - Aksen1 4 2" xfId="127" xr:uid="{CA3C2018-107D-4721-BB35-B3741890834A}"/>
    <cellStyle name="20% - Aksen1 4 2 2" xfId="252" xr:uid="{03FA183E-BC0E-419F-8BD0-06B068606512}"/>
    <cellStyle name="20% - Aksen1 4 3" xfId="191" xr:uid="{45B39961-CBA0-40A3-B4B1-FD1F0BEFA00F}"/>
    <cellStyle name="20% - Aksen2 2" xfId="25" xr:uid="{3FBFF302-4A7B-43B5-9C45-C1E002BDACD8}"/>
    <cellStyle name="20% - Aksen2 2 2" xfId="90" xr:uid="{EE8CB5C2-303B-4541-A8DE-A08A44002805}"/>
    <cellStyle name="20% - Aksen2 2 2 2" xfId="215" xr:uid="{EF6FC1E7-63D4-47BD-9971-D78B8276FBA4}"/>
    <cellStyle name="20% - Aksen2 2 3" xfId="154" xr:uid="{168EB2EE-ACC8-410E-908A-E5309CD98BFC}"/>
    <cellStyle name="20% - Aksen2 3" xfId="49" xr:uid="{2C658977-F02D-4EDC-90EC-FB8015DC0C03}"/>
    <cellStyle name="20% - Aksen2 3 2" xfId="110" xr:uid="{B7CE80B3-1732-4B83-9692-A66E46CA0EB7}"/>
    <cellStyle name="20% - Aksen2 3 2 2" xfId="235" xr:uid="{05FADEDB-9141-4D6E-AD6A-4A23379C0B03}"/>
    <cellStyle name="20% - Aksen2 3 3" xfId="174" xr:uid="{70BFB761-18E5-4CF7-8A4A-0AEFFD788C1E}"/>
    <cellStyle name="20% - Aksen2 4" xfId="69" xr:uid="{D597E6A7-3FFC-40E3-8BEB-8596777007C3}"/>
    <cellStyle name="20% - Aksen2 4 2" xfId="130" xr:uid="{957EA686-32AF-414E-978F-182A3D1F1D61}"/>
    <cellStyle name="20% - Aksen2 4 2 2" xfId="255" xr:uid="{9A2FB8DF-40C4-4C05-AE70-760E7C22CF79}"/>
    <cellStyle name="20% - Aksen2 4 3" xfId="194" xr:uid="{8193DB9F-AF49-4E00-82B2-DA467ABE65C9}"/>
    <cellStyle name="20% - Aksen3 2" xfId="29" xr:uid="{EC29C5F1-78CB-4F99-94ED-116C09D99F96}"/>
    <cellStyle name="20% - Aksen3 2 2" xfId="93" xr:uid="{236DF175-D03B-43CD-BF1E-5024CA39B23F}"/>
    <cellStyle name="20% - Aksen3 2 2 2" xfId="218" xr:uid="{1A7CDC17-B284-42D1-817A-7F7543858D00}"/>
    <cellStyle name="20% - Aksen3 2 3" xfId="157" xr:uid="{E9B865DF-C1ED-489E-B2F6-FA86B47AF65E}"/>
    <cellStyle name="20% - Aksen3 3" xfId="52" xr:uid="{C352C8D7-11B3-45AE-8DCD-22409D8AA705}"/>
    <cellStyle name="20% - Aksen3 3 2" xfId="113" xr:uid="{DED7C2F7-C55C-4992-A13C-DBC3E974DAE7}"/>
    <cellStyle name="20% - Aksen3 3 2 2" xfId="238" xr:uid="{69970EBA-3D49-4010-A60C-D96FB53188E5}"/>
    <cellStyle name="20% - Aksen3 3 3" xfId="177" xr:uid="{F5795D89-3C04-46B5-9BA0-248A85375221}"/>
    <cellStyle name="20% - Aksen3 4" xfId="72" xr:uid="{1415D470-AC30-4B1F-8146-B39884CC6C97}"/>
    <cellStyle name="20% - Aksen3 4 2" xfId="133" xr:uid="{F66CE88A-DA60-453A-BFDB-41F4F4ED0765}"/>
    <cellStyle name="20% - Aksen3 4 2 2" xfId="258" xr:uid="{1D873905-7A28-4ACB-908C-A9ECC4E01F40}"/>
    <cellStyle name="20% - Aksen3 4 3" xfId="197" xr:uid="{AD57CB6F-4CEC-4608-8CCB-B0246B5F1990}"/>
    <cellStyle name="20% - Aksen4 2" xfId="33" xr:uid="{CD27C67C-C590-4921-8E99-26BDF43958D7}"/>
    <cellStyle name="20% - Aksen4 2 2" xfId="96" xr:uid="{78BFBB36-C04C-4B40-B300-C9FAF70FFB54}"/>
    <cellStyle name="20% - Aksen4 2 2 2" xfId="221" xr:uid="{A18D51D6-F00C-493B-887D-9706EDCDCC34}"/>
    <cellStyle name="20% - Aksen4 2 3" xfId="160" xr:uid="{022A8841-7F60-42B9-9A90-1B2C832D0CF6}"/>
    <cellStyle name="20% - Aksen4 3" xfId="55" xr:uid="{A2CB53F7-DB3A-45B2-9AA3-AD5BD0DF0885}"/>
    <cellStyle name="20% - Aksen4 3 2" xfId="116" xr:uid="{5A3E6036-5EE5-4F91-8140-C07C619BFE7D}"/>
    <cellStyle name="20% - Aksen4 3 2 2" xfId="241" xr:uid="{95DB76F8-772E-45A0-BE5B-AF3BA6B2027F}"/>
    <cellStyle name="20% - Aksen4 3 3" xfId="180" xr:uid="{1F397AE6-46C4-4EEF-BDB2-7C1F9941FF2C}"/>
    <cellStyle name="20% - Aksen4 4" xfId="75" xr:uid="{F078A74B-532C-443A-A376-5745CF0E9A1E}"/>
    <cellStyle name="20% - Aksen4 4 2" xfId="136" xr:uid="{15771601-EFA2-4694-911D-A9451E624CB6}"/>
    <cellStyle name="20% - Aksen4 4 2 2" xfId="261" xr:uid="{FB1DC2A5-4093-4A36-97D6-345FB2D39931}"/>
    <cellStyle name="20% - Aksen4 4 3" xfId="200" xr:uid="{89B960D3-229C-47BF-B509-4630C9E94C2E}"/>
    <cellStyle name="20% - Aksen5 2" xfId="37" xr:uid="{CD3678D4-533F-438A-BCC0-60925D31D9F5}"/>
    <cellStyle name="20% - Aksen5 2 2" xfId="99" xr:uid="{D2AFDA23-97FC-4CBA-AC08-235B9B7D8D81}"/>
    <cellStyle name="20% - Aksen5 2 2 2" xfId="224" xr:uid="{C5947660-F831-454E-8429-F2FFE211D0DD}"/>
    <cellStyle name="20% - Aksen5 2 3" xfId="163" xr:uid="{A1BAD5E4-7FB9-4FF1-BB16-0FCFD6A82030}"/>
    <cellStyle name="20% - Aksen5 3" xfId="58" xr:uid="{CDF60EBF-3B3A-4CEF-A1AF-4DDBB15A8BE5}"/>
    <cellStyle name="20% - Aksen5 3 2" xfId="119" xr:uid="{0A9B14E9-BCE4-4EA9-929A-B11EBEB5D021}"/>
    <cellStyle name="20% - Aksen5 3 2 2" xfId="244" xr:uid="{A9824E8D-C3A4-423D-A7B5-12C383681A9C}"/>
    <cellStyle name="20% - Aksen5 3 3" xfId="183" xr:uid="{BA0E4980-A951-4AC6-9C94-5339145F5C8D}"/>
    <cellStyle name="20% - Aksen5 4" xfId="78" xr:uid="{97DFEFF5-83DD-4560-AD69-8673F0F0E944}"/>
    <cellStyle name="20% - Aksen5 4 2" xfId="139" xr:uid="{26BE2A34-57F7-4994-A68D-0551A3C221B2}"/>
    <cellStyle name="20% - Aksen5 4 2 2" xfId="264" xr:uid="{8DF9A907-BE0E-43D9-B6D2-60D67B0483AF}"/>
    <cellStyle name="20% - Aksen5 4 3" xfId="203" xr:uid="{CA23429E-8CC1-4CBD-B52C-D04F6DD4A990}"/>
    <cellStyle name="20% - Aksen6 2" xfId="41" xr:uid="{AF97960B-62FD-4F4F-A35A-551A980B6278}"/>
    <cellStyle name="20% - Aksen6 2 2" xfId="102" xr:uid="{810CFF23-0E84-4C57-98B1-43D332E487E7}"/>
    <cellStyle name="20% - Aksen6 2 2 2" xfId="227" xr:uid="{B3E93D36-2A8A-4475-A9C4-CCA200D817B8}"/>
    <cellStyle name="20% - Aksen6 2 3" xfId="166" xr:uid="{62A7EE15-68A6-4CB5-B322-AF28284F4647}"/>
    <cellStyle name="20% - Aksen6 3" xfId="61" xr:uid="{C637A5E0-BDD4-4ECF-BEEF-AF7455E8BF3A}"/>
    <cellStyle name="20% - Aksen6 3 2" xfId="122" xr:uid="{E404FAFB-CD2C-4B49-AB69-8294EAEA3C88}"/>
    <cellStyle name="20% - Aksen6 3 2 2" xfId="247" xr:uid="{38C8F222-8F90-4A61-B9F5-B9531E8B966B}"/>
    <cellStyle name="20% - Aksen6 3 3" xfId="186" xr:uid="{82BC735D-BA8D-4DE8-8F42-620BE3EE4C66}"/>
    <cellStyle name="20% - Aksen6 4" xfId="81" xr:uid="{5BD86B70-4C95-4266-9B84-2EF1B6ECF9D5}"/>
    <cellStyle name="20% - Aksen6 4 2" xfId="142" xr:uid="{1FC11FD0-A168-4DF4-92A4-2269EA7EA58B}"/>
    <cellStyle name="20% - Aksen6 4 2 2" xfId="267" xr:uid="{E207AA47-1FD3-47CE-BFE2-573B761970CD}"/>
    <cellStyle name="20% - Aksen6 4 3" xfId="206" xr:uid="{5706CE9C-A133-4FB0-89AC-3DD7B04F27CD}"/>
    <cellStyle name="40% - Aksen1 2" xfId="22" xr:uid="{2807F27E-D034-4307-82AD-57AE500014D1}"/>
    <cellStyle name="40% - Aksen1 2 2" xfId="88" xr:uid="{9178A6FD-0734-4B33-8878-CFFFC8B42E96}"/>
    <cellStyle name="40% - Aksen1 2 2 2" xfId="213" xr:uid="{70DF1DAE-4432-4154-B603-EBF46193CF83}"/>
    <cellStyle name="40% - Aksen1 2 3" xfId="152" xr:uid="{0B967932-D211-412B-A21D-626FA52E5C11}"/>
    <cellStyle name="40% - Aksen1 3" xfId="47" xr:uid="{D0BF2B2B-C93F-4A9D-9DE7-1A7547EDC670}"/>
    <cellStyle name="40% - Aksen1 3 2" xfId="108" xr:uid="{2F93B1A5-A037-4A15-9944-B0B80EAE03B8}"/>
    <cellStyle name="40% - Aksen1 3 2 2" xfId="233" xr:uid="{46B4C969-A83E-44AB-96C5-B848693DA5E7}"/>
    <cellStyle name="40% - Aksen1 3 3" xfId="172" xr:uid="{6C35DC68-11FB-4806-9208-77E20D56CFAB}"/>
    <cellStyle name="40% - Aksen1 4" xfId="67" xr:uid="{DB486DDB-99E8-4397-BB15-BE61A909DDE4}"/>
    <cellStyle name="40% - Aksen1 4 2" xfId="128" xr:uid="{E7764621-180B-4D52-9FB4-E66305F691F5}"/>
    <cellStyle name="40% - Aksen1 4 2 2" xfId="253" xr:uid="{852B0015-2A81-48C8-8687-322E29E10446}"/>
    <cellStyle name="40% - Aksen1 4 3" xfId="192" xr:uid="{5004BC43-3883-4EE4-8A4D-CA248D847443}"/>
    <cellStyle name="40% - Aksen2 2" xfId="26" xr:uid="{FCFB06C3-CB88-4D0C-ABCC-6EC357319B3B}"/>
    <cellStyle name="40% - Aksen2 2 2" xfId="91" xr:uid="{FA515AA0-2E99-4B03-B39F-6445550484EE}"/>
    <cellStyle name="40% - Aksen2 2 2 2" xfId="216" xr:uid="{7F1F71D8-FF48-4D5B-A283-DC706A322914}"/>
    <cellStyle name="40% - Aksen2 2 3" xfId="155" xr:uid="{4028BB6B-878A-4D5E-BB73-B030108D83B5}"/>
    <cellStyle name="40% - Aksen2 3" xfId="50" xr:uid="{6CCA99E8-0E80-48D1-B7EA-9CC4BA5E8256}"/>
    <cellStyle name="40% - Aksen2 3 2" xfId="111" xr:uid="{7E722F86-80D0-4420-8A7F-C7CC95DA1B35}"/>
    <cellStyle name="40% - Aksen2 3 2 2" xfId="236" xr:uid="{01DF54A6-1EE2-4B33-9AE4-460CB181E728}"/>
    <cellStyle name="40% - Aksen2 3 3" xfId="175" xr:uid="{45D50883-D6B6-4A3D-B289-29026DDAF3AB}"/>
    <cellStyle name="40% - Aksen2 4" xfId="70" xr:uid="{286067E1-257D-48FF-B312-8BD75E395BCF}"/>
    <cellStyle name="40% - Aksen2 4 2" xfId="131" xr:uid="{FC25E16A-A41C-4814-A832-6DBAE3A08F7B}"/>
    <cellStyle name="40% - Aksen2 4 2 2" xfId="256" xr:uid="{CC97F2A0-8B22-41A9-92AF-27BA4A44341C}"/>
    <cellStyle name="40% - Aksen2 4 3" xfId="195" xr:uid="{52A7362B-3C8B-4536-BB2E-39B4E7810B90}"/>
    <cellStyle name="40% - Aksen3 2" xfId="30" xr:uid="{CFD4962E-9C66-4167-AD96-33471CFDF601}"/>
    <cellStyle name="40% - Aksen3 2 2" xfId="94" xr:uid="{0D55F727-778D-4F38-9785-AF32865FFDB8}"/>
    <cellStyle name="40% - Aksen3 2 2 2" xfId="219" xr:uid="{317B3C55-C3CF-414D-974B-1D9511B6E703}"/>
    <cellStyle name="40% - Aksen3 2 3" xfId="158" xr:uid="{FC57B09C-17F4-4DB5-A092-EF3813724755}"/>
    <cellStyle name="40% - Aksen3 3" xfId="53" xr:uid="{D8C49B2D-0C5D-45E1-A4A7-7FB21D23CA8D}"/>
    <cellStyle name="40% - Aksen3 3 2" xfId="114" xr:uid="{28750557-B5FE-4C81-AA6D-6202345644D9}"/>
    <cellStyle name="40% - Aksen3 3 2 2" xfId="239" xr:uid="{3BFF30D7-D72C-4684-9567-8860B919CC14}"/>
    <cellStyle name="40% - Aksen3 3 3" xfId="178" xr:uid="{A9089D50-74E7-4657-A05F-47B03A675EB3}"/>
    <cellStyle name="40% - Aksen3 4" xfId="73" xr:uid="{2B9439D3-FA85-437F-BD96-DFE476F705CF}"/>
    <cellStyle name="40% - Aksen3 4 2" xfId="134" xr:uid="{A05FB743-44D4-47C4-9253-729DB14BF315}"/>
    <cellStyle name="40% - Aksen3 4 2 2" xfId="259" xr:uid="{5C18D094-D39C-446E-A1DF-0378707EFFE7}"/>
    <cellStyle name="40% - Aksen3 4 3" xfId="198" xr:uid="{248CEB30-1A6C-45E4-954B-E2C852E70476}"/>
    <cellStyle name="40% - Aksen4 2" xfId="34" xr:uid="{DB33BEB0-51BD-4705-BBCB-4B31CD16BA31}"/>
    <cellStyle name="40% - Aksen4 2 2" xfId="97" xr:uid="{6F64B0EC-F2F2-4F1D-8F44-09BD6CF53341}"/>
    <cellStyle name="40% - Aksen4 2 2 2" xfId="222" xr:uid="{C080C0FF-8B5A-4269-952F-61E92AF34C50}"/>
    <cellStyle name="40% - Aksen4 2 3" xfId="161" xr:uid="{37D01C25-9AAD-4224-8BA8-3230168520C6}"/>
    <cellStyle name="40% - Aksen4 3" xfId="56" xr:uid="{15988C06-1234-449E-8F7A-C5EE141BA923}"/>
    <cellStyle name="40% - Aksen4 3 2" xfId="117" xr:uid="{A955F2EB-FAC7-4127-89C4-4B7992BFDD72}"/>
    <cellStyle name="40% - Aksen4 3 2 2" xfId="242" xr:uid="{F3898F1C-71F6-4D19-A333-8A7D47931D5B}"/>
    <cellStyle name="40% - Aksen4 3 3" xfId="181" xr:uid="{5D26BF93-67A6-4FE0-9770-4D990F0876B9}"/>
    <cellStyle name="40% - Aksen4 4" xfId="76" xr:uid="{4CF65618-0EF2-4580-9DA5-10182001BC14}"/>
    <cellStyle name="40% - Aksen4 4 2" xfId="137" xr:uid="{F10FC2F5-2B86-40DB-8CA6-18DDB56A228B}"/>
    <cellStyle name="40% - Aksen4 4 2 2" xfId="262" xr:uid="{06AAEF47-937E-4DD6-BC6A-2E05B4A7C2D5}"/>
    <cellStyle name="40% - Aksen4 4 3" xfId="201" xr:uid="{4F2B8830-7A83-4075-A867-9132866080DE}"/>
    <cellStyle name="40% - Aksen5 2" xfId="38" xr:uid="{AC0043B3-F1D0-4D3B-AC47-88D845304B46}"/>
    <cellStyle name="40% - Aksen5 2 2" xfId="100" xr:uid="{8DAA36CD-7569-4245-AD0C-C3A973372B82}"/>
    <cellStyle name="40% - Aksen5 2 2 2" xfId="225" xr:uid="{CEE267FD-E7C1-4BE2-8251-4A8D21FC7045}"/>
    <cellStyle name="40% - Aksen5 2 3" xfId="164" xr:uid="{51608875-1186-405C-ADAD-5671F7F2A371}"/>
    <cellStyle name="40% - Aksen5 3" xfId="59" xr:uid="{C34F376F-61D8-4DA2-BD59-97EA982E54CA}"/>
    <cellStyle name="40% - Aksen5 3 2" xfId="120" xr:uid="{6C1FFFC5-15CF-4E66-9C33-669E129CB7BC}"/>
    <cellStyle name="40% - Aksen5 3 2 2" xfId="245" xr:uid="{928277AF-6261-42FA-9A21-E74E4BCD1354}"/>
    <cellStyle name="40% - Aksen5 3 3" xfId="184" xr:uid="{7E4BE378-0B10-494A-8708-59A76520EDFC}"/>
    <cellStyle name="40% - Aksen5 4" xfId="79" xr:uid="{AAE9DB50-D0BD-4F42-B910-5CA13D5F35FD}"/>
    <cellStyle name="40% - Aksen5 4 2" xfId="140" xr:uid="{F01010DA-B2CC-4C63-9BEF-2E9522477DB9}"/>
    <cellStyle name="40% - Aksen5 4 2 2" xfId="265" xr:uid="{421E5DFE-A290-4F85-8E5D-B5C5120B5F3F}"/>
    <cellStyle name="40% - Aksen5 4 3" xfId="204" xr:uid="{BD0A7DEC-3183-4B68-AA53-234285A80459}"/>
    <cellStyle name="40% - Aksen6 2" xfId="42" xr:uid="{0293DBF8-9675-4260-95A2-A29AD22D9F70}"/>
    <cellStyle name="40% - Aksen6 2 2" xfId="103" xr:uid="{3A9BF021-6F91-4EB3-AFD8-9339C43A6233}"/>
    <cellStyle name="40% - Aksen6 2 2 2" xfId="228" xr:uid="{3647B010-BBC8-44B6-B3E5-FC29EF97096B}"/>
    <cellStyle name="40% - Aksen6 2 3" xfId="167" xr:uid="{AFD47DD9-E57A-4EB5-871E-84E42F0862A8}"/>
    <cellStyle name="40% - Aksen6 3" xfId="62" xr:uid="{0F9347A1-128C-4D64-93EC-4873E0FCB630}"/>
    <cellStyle name="40% - Aksen6 3 2" xfId="123" xr:uid="{A4C6B172-98D7-41DC-8CBA-FDDA9CD86ECB}"/>
    <cellStyle name="40% - Aksen6 3 2 2" xfId="248" xr:uid="{1A07B548-9776-4A5F-9FEA-1676362B86AB}"/>
    <cellStyle name="40% - Aksen6 3 3" xfId="187" xr:uid="{4F5AE0FB-CD4C-469B-8D9D-D9AD045DE10A}"/>
    <cellStyle name="40% - Aksen6 4" xfId="82" xr:uid="{CA5B9D78-394F-4542-A515-8A08B878C090}"/>
    <cellStyle name="40% - Aksen6 4 2" xfId="143" xr:uid="{2BA3006C-8FAC-459F-9F17-6425A72F7BE1}"/>
    <cellStyle name="40% - Aksen6 4 2 2" xfId="268" xr:uid="{E3A84E5A-6AE4-4B56-8389-6D673A635D06}"/>
    <cellStyle name="40% - Aksen6 4 3" xfId="207" xr:uid="{44DB0064-5AC5-4D06-BAEC-7E108C2BEDB6}"/>
    <cellStyle name="60% - Aksen1 2" xfId="23" xr:uid="{3E1EF65E-1EA6-4834-850E-7EE367EFAEEC}"/>
    <cellStyle name="60% - Aksen1 2 2" xfId="89" xr:uid="{9E1EC26B-D4CC-4751-94BD-BB714FE3FF7F}"/>
    <cellStyle name="60% - Aksen1 2 2 2" xfId="214" xr:uid="{7D83A539-4F9B-446B-8830-99177808C75F}"/>
    <cellStyle name="60% - Aksen1 2 3" xfId="153" xr:uid="{273EE47D-8D9B-4DBB-8D77-86D0ECD6866E}"/>
    <cellStyle name="60% - Aksen1 3" xfId="48" xr:uid="{B006F641-F494-4C3B-878D-689502B56D1D}"/>
    <cellStyle name="60% - Aksen1 3 2" xfId="109" xr:uid="{0FC887FB-975B-4CF3-8F96-490E9F681FDB}"/>
    <cellStyle name="60% - Aksen1 3 2 2" xfId="234" xr:uid="{31AAD33E-D8BB-4716-B084-7A06C956639A}"/>
    <cellStyle name="60% - Aksen1 3 3" xfId="173" xr:uid="{59D2AE8F-48D6-47DE-8F77-81FFC6FA4FD7}"/>
    <cellStyle name="60% - Aksen1 4" xfId="68" xr:uid="{FA81A385-504E-40C2-89B4-4E5DE7D248FB}"/>
    <cellStyle name="60% - Aksen1 4 2" xfId="129" xr:uid="{8CA5A161-7452-4A3D-AF1D-A18C1AAADA34}"/>
    <cellStyle name="60% - Aksen1 4 2 2" xfId="254" xr:uid="{CFE163E5-1083-4B01-8889-07899F58D3CE}"/>
    <cellStyle name="60% - Aksen1 4 3" xfId="193" xr:uid="{B4D60A82-4B85-45D8-BEE8-5E29BE819161}"/>
    <cellStyle name="60% - Aksen2 2" xfId="27" xr:uid="{E35678F2-E97D-4D46-8225-C1B2B5CB253C}"/>
    <cellStyle name="60% - Aksen2 2 2" xfId="92" xr:uid="{DB466770-DCF2-41CD-B7F1-F1237BF01D91}"/>
    <cellStyle name="60% - Aksen2 2 2 2" xfId="217" xr:uid="{DD92135F-9AE5-4AEA-B2D1-FBC234412EE7}"/>
    <cellStyle name="60% - Aksen2 2 3" xfId="156" xr:uid="{A33D7584-551F-4DD7-9622-90DB9651C3FB}"/>
    <cellStyle name="60% - Aksen2 3" xfId="51" xr:uid="{DC6168D8-E216-4721-A47B-FA419513050E}"/>
    <cellStyle name="60% - Aksen2 3 2" xfId="112" xr:uid="{4123A7C6-9C8C-47BB-97A6-9828D7292CFC}"/>
    <cellStyle name="60% - Aksen2 3 2 2" xfId="237" xr:uid="{CFD56070-B9B0-48CA-9E80-B66160426708}"/>
    <cellStyle name="60% - Aksen2 3 3" xfId="176" xr:uid="{B0993D22-9319-414C-8C6C-EDDDFDF09676}"/>
    <cellStyle name="60% - Aksen2 4" xfId="71" xr:uid="{03003095-3972-4968-8092-9DABCDFFA890}"/>
    <cellStyle name="60% - Aksen2 4 2" xfId="132" xr:uid="{5802A842-AF7E-4BA1-AFE3-2594F573BAB0}"/>
    <cellStyle name="60% - Aksen2 4 2 2" xfId="257" xr:uid="{0930569A-7518-4385-BC42-3B9946E9B8B5}"/>
    <cellStyle name="60% - Aksen2 4 3" xfId="196" xr:uid="{FB4B372D-4C79-4950-B253-B266147D8288}"/>
    <cellStyle name="60% - Aksen3 2" xfId="31" xr:uid="{2DB1CE09-F6C6-4B5E-A839-CECA2858E528}"/>
    <cellStyle name="60% - Aksen3 2 2" xfId="95" xr:uid="{81C613D7-C6CD-41FC-A083-0FC93E6D130F}"/>
    <cellStyle name="60% - Aksen3 2 2 2" xfId="220" xr:uid="{33DF4509-CDDF-45F6-8C4B-66657C2465DC}"/>
    <cellStyle name="60% - Aksen3 2 3" xfId="159" xr:uid="{AAE342E0-C54D-403A-AC63-4C4C088C5936}"/>
    <cellStyle name="60% - Aksen3 3" xfId="54" xr:uid="{98E297BC-29E3-48EB-9976-A9F8782E626B}"/>
    <cellStyle name="60% - Aksen3 3 2" xfId="115" xr:uid="{988EED8D-2A8F-4D23-934C-9BB6814DF7EA}"/>
    <cellStyle name="60% - Aksen3 3 2 2" xfId="240" xr:uid="{4AFC92EA-5CED-4EDE-AECE-63499C2BE15A}"/>
    <cellStyle name="60% - Aksen3 3 3" xfId="179" xr:uid="{0E04BEBD-7F2C-4722-BE2C-12572AE0434C}"/>
    <cellStyle name="60% - Aksen3 4" xfId="74" xr:uid="{EE9D5D03-B648-490B-96E4-B98D5757814D}"/>
    <cellStyle name="60% - Aksen3 4 2" xfId="135" xr:uid="{6B6FB0F1-2D95-4DC6-A2F9-2D60AD46060A}"/>
    <cellStyle name="60% - Aksen3 4 2 2" xfId="260" xr:uid="{719B51B3-0462-41E3-98D1-221AF97DAED6}"/>
    <cellStyle name="60% - Aksen3 4 3" xfId="199" xr:uid="{B51857A4-616F-43EF-9732-646E891D250E}"/>
    <cellStyle name="60% - Aksen4 2" xfId="35" xr:uid="{A1265326-CC81-4B04-87EF-6CEC56A5B074}"/>
    <cellStyle name="60% - Aksen4 2 2" xfId="98" xr:uid="{C05A8A22-A1AF-4EED-98C3-377C2BCFB4AE}"/>
    <cellStyle name="60% - Aksen4 2 2 2" xfId="223" xr:uid="{449278A8-9E59-4DD5-9896-EE1DC2E054B0}"/>
    <cellStyle name="60% - Aksen4 2 3" xfId="162" xr:uid="{FD1BCDDF-2C1F-4D30-A334-94C165C07CE0}"/>
    <cellStyle name="60% - Aksen4 3" xfId="57" xr:uid="{96244A48-A554-4D20-A4CD-12B82301C173}"/>
    <cellStyle name="60% - Aksen4 3 2" xfId="118" xr:uid="{8DAC8A16-CC39-4ADD-A5B8-1B2B650068F7}"/>
    <cellStyle name="60% - Aksen4 3 2 2" xfId="243" xr:uid="{AB4AE577-5675-458E-99F4-81C45729DBBC}"/>
    <cellStyle name="60% - Aksen4 3 3" xfId="182" xr:uid="{F5D0A51A-C926-4630-BCCF-55B34AC2FC20}"/>
    <cellStyle name="60% - Aksen4 4" xfId="77" xr:uid="{2901BD68-09D7-4C27-BBB2-FEEB696B1F99}"/>
    <cellStyle name="60% - Aksen4 4 2" xfId="138" xr:uid="{83E0E108-219F-4541-AF2B-05E58E3BDFCC}"/>
    <cellStyle name="60% - Aksen4 4 2 2" xfId="263" xr:uid="{B4AB35E1-5F94-450B-A5D8-34E56F0E9E24}"/>
    <cellStyle name="60% - Aksen4 4 3" xfId="202" xr:uid="{5865F899-63AF-41CE-B5B4-013ED010A0CE}"/>
    <cellStyle name="60% - Aksen5 2" xfId="39" xr:uid="{C9B83F69-403C-401C-97C2-563EAA7773AD}"/>
    <cellStyle name="60% - Aksen5 2 2" xfId="101" xr:uid="{887D49D0-6826-4435-A824-D303928C5443}"/>
    <cellStyle name="60% - Aksen5 2 2 2" xfId="226" xr:uid="{E9FED7F3-E85A-4B93-A6E8-182051E43B7B}"/>
    <cellStyle name="60% - Aksen5 2 3" xfId="165" xr:uid="{E0EA5356-0F31-40E5-87D9-0C8DA2F0D363}"/>
    <cellStyle name="60% - Aksen5 3" xfId="60" xr:uid="{FC51B849-1601-4CC0-B3D2-6CE351B24B56}"/>
    <cellStyle name="60% - Aksen5 3 2" xfId="121" xr:uid="{3AC4E645-8E2F-4CEE-8CE7-F65E077EB5F0}"/>
    <cellStyle name="60% - Aksen5 3 2 2" xfId="246" xr:uid="{B35A9982-06DE-4B6B-8632-C380FDDB2E1D}"/>
    <cellStyle name="60% - Aksen5 3 3" xfId="185" xr:uid="{85345F74-9055-4531-AC92-FC3E98F61D62}"/>
    <cellStyle name="60% - Aksen5 4" xfId="80" xr:uid="{E0A9335E-C9DB-4FB2-9CE1-BB273CA1754E}"/>
    <cellStyle name="60% - Aksen5 4 2" xfId="141" xr:uid="{42E8D8E7-6DD8-4659-A52F-1BB29652E4B5}"/>
    <cellStyle name="60% - Aksen5 4 2 2" xfId="266" xr:uid="{0899A4D8-5575-4CB4-9BF9-93552285251B}"/>
    <cellStyle name="60% - Aksen5 4 3" xfId="205" xr:uid="{57CCACF9-89C4-4BE6-A451-28AAC7444D67}"/>
    <cellStyle name="60% - Aksen6 2" xfId="43" xr:uid="{8AE80001-C64C-4D24-AE6F-7785397DDEF7}"/>
    <cellStyle name="60% - Aksen6 2 2" xfId="104" xr:uid="{C34EFDDE-4D8A-489C-B68C-8F08D6733561}"/>
    <cellStyle name="60% - Aksen6 2 2 2" xfId="229" xr:uid="{0F5AFBA9-26DC-4B53-B6DB-6D81E9B146DC}"/>
    <cellStyle name="60% - Aksen6 2 3" xfId="168" xr:uid="{DE7F89CC-66B7-49CB-B368-3FC34A8395A8}"/>
    <cellStyle name="60% - Aksen6 3" xfId="63" xr:uid="{BF8F583D-8430-48FF-8A0C-00FE31262528}"/>
    <cellStyle name="60% - Aksen6 3 2" xfId="124" xr:uid="{5F713531-BF2A-4074-B39F-4B141A1635D8}"/>
    <cellStyle name="60% - Aksen6 3 2 2" xfId="249" xr:uid="{0F6431CE-10EF-4504-B075-7499583C014D}"/>
    <cellStyle name="60% - Aksen6 3 3" xfId="188" xr:uid="{44BCC96D-B6D1-4C61-B8B8-E1E63A3FF7FA}"/>
    <cellStyle name="60% - Aksen6 4" xfId="83" xr:uid="{FD8E36F4-3B9B-45D3-8E5C-E3D94CD5A006}"/>
    <cellStyle name="60% - Aksen6 4 2" xfId="144" xr:uid="{B8E8D897-7ACC-413C-917B-75081F86C059}"/>
    <cellStyle name="60% - Aksen6 4 2 2" xfId="269" xr:uid="{D035CDCA-556F-4C7F-A1E0-16DE2ACF048A}"/>
    <cellStyle name="60% - Aksen6 4 3" xfId="208" xr:uid="{7BB13AC7-3DBF-4BC1-ACED-663995F11EA1}"/>
    <cellStyle name="Aksen1 2" xfId="20" xr:uid="{EF595A2C-67AE-48E1-B16D-23D38B1CEE73}"/>
    <cellStyle name="Aksen2 2" xfId="24" xr:uid="{113FAD58-C1C1-42AE-A159-BC434EBE3ADF}"/>
    <cellStyle name="Aksen3 2" xfId="28" xr:uid="{A448B2C9-8096-40B4-AD33-1E407BB52702}"/>
    <cellStyle name="Aksen4 2" xfId="32" xr:uid="{C82E97DF-C6F0-4B24-989F-3A55856ACC29}"/>
    <cellStyle name="Aksen5 2" xfId="36" xr:uid="{2BF23040-88E7-4EA7-9A5F-93C124112FD6}"/>
    <cellStyle name="Aksen6 2" xfId="40" xr:uid="{6621D2E9-2425-4C58-9B46-4908127A303B}"/>
    <cellStyle name="Baik 2" xfId="14" xr:uid="{028167EA-57F8-44AC-B939-886642BE0242}"/>
    <cellStyle name="Buruk 2" xfId="15" xr:uid="{B97CAD4A-48CC-489D-8635-C62165F66C91}"/>
    <cellStyle name="Calculation" xfId="7" builtinId="22" customBuiltin="1"/>
    <cellStyle name="Catatan 2" xfId="18" xr:uid="{4C7FC302-81D7-4F90-AE10-B3984F870965}"/>
    <cellStyle name="Catatan 2 2" xfId="86" xr:uid="{310A39BE-3251-4341-99C8-A918013E2D51}"/>
    <cellStyle name="Catatan 2 2 2" xfId="211" xr:uid="{63E01BDA-C0A4-465C-B3B0-0266DDB8D03E}"/>
    <cellStyle name="Catatan 2 3" xfId="150" xr:uid="{9EBE5A5E-6E1B-4791-B757-859632DF2FCB}"/>
    <cellStyle name="Catatan 3" xfId="45" xr:uid="{529141CF-F15E-45F3-BB53-111A58174A84}"/>
    <cellStyle name="Catatan 3 2" xfId="106" xr:uid="{44BB108E-D62D-4D87-98F2-41C4D0B30A5E}"/>
    <cellStyle name="Catatan 3 2 2" xfId="231" xr:uid="{C72F2FE2-5DCE-4FDB-83E8-12B788476FCF}"/>
    <cellStyle name="Catatan 3 3" xfId="170" xr:uid="{9613DDDA-C7EE-4FCA-B2F8-06E096650E9D}"/>
    <cellStyle name="Catatan 4" xfId="65" xr:uid="{A83AAE0B-F060-4719-A7B7-DFC5D49FB32F}"/>
    <cellStyle name="Catatan 4 2" xfId="126" xr:uid="{FAD22CD9-829B-47DB-98DF-DE89E6F1CA87}"/>
    <cellStyle name="Catatan 4 2 2" xfId="251" xr:uid="{151CD5D4-D53E-4A11-B725-4E3690A15369}"/>
    <cellStyle name="Catatan 4 3" xfId="190" xr:uid="{759F314E-51CB-4218-95EE-4397F012E8B1}"/>
    <cellStyle name="Check Cell" xfId="9" builtinId="23" customBuiltin="1"/>
    <cellStyle name="Heading 1" xfId="2" builtinId="16" customBuiltin="1"/>
    <cellStyle name="Heading 2" xfId="3" builtinId="17" customBuiltin="1"/>
    <cellStyle name="Heading 3" xfId="4" builtinId="18" customBuiltin="1"/>
    <cellStyle name="Input" xfId="5" builtinId="20" customBuiltin="1"/>
    <cellStyle name="Judul 4 2" xfId="13" xr:uid="{F4B080BD-D5FE-4243-95D4-30CEA3E81D7E}"/>
    <cellStyle name="Judul 5" xfId="12" xr:uid="{001C6E43-37FF-4BB8-BD8D-8338188D2BB8}"/>
    <cellStyle name="Linked Cell" xfId="8" builtinId="24" customBuiltin="1"/>
    <cellStyle name="Netral 2" xfId="16" xr:uid="{5A482AC9-2D7F-4016-9205-D82B7CD8534A}"/>
    <cellStyle name="Normal" xfId="0" builtinId="0"/>
    <cellStyle name="Normal 2" xfId="1" xr:uid="{A52B6A14-180A-4CC2-A5DD-558C58A68832}"/>
    <cellStyle name="Normal 3" xfId="11" xr:uid="{6EB7778B-8C55-43C1-8C2F-6F16FF481CD6}"/>
    <cellStyle name="Normal 3 2" xfId="147" xr:uid="{919C31D7-78F1-460E-84E1-89A552EA4465}"/>
    <cellStyle name="Normal 3 2 2" xfId="272" xr:uid="{04FF0FF5-F986-4560-A451-9E480BA3E4CD}"/>
    <cellStyle name="Normal 3 3" xfId="85" xr:uid="{B93F17FC-9C45-4786-B5B5-91726F1C8AC0}"/>
    <cellStyle name="Normal 3 3 2" xfId="210" xr:uid="{A90CAAD6-BA61-4966-B49D-55830E712C47}"/>
    <cellStyle name="Normal 3 4" xfId="149" xr:uid="{B5521FA0-023A-4700-A3AC-28FE1869FDC1}"/>
    <cellStyle name="Normal 4" xfId="44" xr:uid="{6BE8727A-AE90-4012-B502-E0CEA98D4E67}"/>
    <cellStyle name="Normal 4 2" xfId="84" xr:uid="{7F292ED1-B39C-401B-86F3-2D299A081918}"/>
    <cellStyle name="Normal 4 2 2" xfId="146" xr:uid="{6266CE34-CDDB-4EE9-ABCE-609FB80F6EAE}"/>
    <cellStyle name="Normal 4 2 2 2" xfId="271" xr:uid="{44633469-790E-445C-9192-B887D64434B0}"/>
    <cellStyle name="Normal 4 2 3" xfId="209" xr:uid="{961231CA-EA62-4262-AC6E-E1313F044BBA}"/>
    <cellStyle name="Normal 4 3" xfId="105" xr:uid="{747FD133-6A84-471D-A4E2-7F1BB73BAF1F}"/>
    <cellStyle name="Normal 4 3 2" xfId="230" xr:uid="{32681966-E298-463A-87A4-CED9968ACC66}"/>
    <cellStyle name="Normal 4 4" xfId="169" xr:uid="{881316BD-39F8-4D4F-8652-FCF4D74E15D7}"/>
    <cellStyle name="Normal 5" xfId="64" xr:uid="{FCCB6D5B-B3B2-46A7-8F96-E40B765DAAB8}"/>
    <cellStyle name="Normal 5 2" xfId="145" xr:uid="{A272E789-286D-4764-8AC9-D0BE85E8742A}"/>
    <cellStyle name="Normal 5 2 2" xfId="270" xr:uid="{AB694EE6-A5FC-41AE-9210-9259F71274D3}"/>
    <cellStyle name="Normal 5 3" xfId="125" xr:uid="{C7A3B7EE-931A-4A9F-9D2C-E5977190AEB7}"/>
    <cellStyle name="Normal 5 3 2" xfId="250" xr:uid="{FDE9B733-1280-4130-A52B-F43F23D1A8A7}"/>
    <cellStyle name="Normal 5 4" xfId="189" xr:uid="{637242BF-5D5A-48C4-BC36-7FA44DFA905D}"/>
    <cellStyle name="Normal 6" xfId="148" xr:uid="{499E8B40-7F1F-484A-9E7B-5312044344ED}"/>
    <cellStyle name="Output" xfId="6" builtinId="21" customBuiltin="1"/>
    <cellStyle name="Percent 2" xfId="273" xr:uid="{C01F2683-37F6-4C96-92FE-25F2ACFC4333}"/>
    <cellStyle name="Teks Penjelasan 2" xfId="19" xr:uid="{AF97A5EA-B68D-468C-A4AB-970D9E75709A}"/>
    <cellStyle name="Teks Peringatan 2" xfId="17" xr:uid="{72018557-DE42-41B1-9565-3B8736CFF957}"/>
    <cellStyle name="Total" xfId="10" builtinId="25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40</xdr:row>
      <xdr:rowOff>23812</xdr:rowOff>
    </xdr:from>
    <xdr:to>
      <xdr:col>1</xdr:col>
      <xdr:colOff>990600</xdr:colOff>
      <xdr:row>45</xdr:row>
      <xdr:rowOff>16669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BFE5400-F222-4C70-A1FB-5ED17F45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6367462"/>
          <a:ext cx="657225" cy="754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168"/>
  <sheetViews>
    <sheetView tabSelected="1" zoomScaleNormal="100" workbookViewId="0">
      <pane xSplit="3" ySplit="1" topLeftCell="J2" activePane="bottomRight" state="frozen"/>
      <selection activeCell="M1" sqref="M1"/>
      <selection pane="topRight" activeCell="M1" sqref="M1"/>
      <selection pane="bottomLeft" activeCell="M1" sqref="M1"/>
      <selection pane="bottomRight" activeCell="B14" sqref="B14"/>
    </sheetView>
  </sheetViews>
  <sheetFormatPr defaultColWidth="14.42578125" defaultRowHeight="15" customHeight="1" x14ac:dyDescent="0.25"/>
  <cols>
    <col min="1" max="1" width="4.85546875" style="90" customWidth="1"/>
    <col min="2" max="2" width="22.85546875" style="90" customWidth="1"/>
    <col min="3" max="3" width="17.42578125" style="90" customWidth="1"/>
    <col min="4" max="4" width="17.85546875" style="90" customWidth="1"/>
    <col min="5" max="5" width="16" style="90" customWidth="1"/>
    <col min="6" max="6" width="20.85546875" style="90" customWidth="1"/>
    <col min="7" max="7" width="17.140625" style="90" customWidth="1"/>
    <col min="8" max="8" width="18.28515625" style="43" customWidth="1"/>
    <col min="9" max="9" width="9.140625" style="89" customWidth="1"/>
    <col min="10" max="11" width="9.140625" style="90" customWidth="1"/>
    <col min="12" max="24" width="8.7109375" style="90" customWidth="1"/>
    <col min="25" max="16384" width="14.42578125" style="90"/>
  </cols>
  <sheetData>
    <row r="1" spans="1:24" s="89" customFormat="1" x14ac:dyDescent="0.25">
      <c r="A1" s="87" t="s">
        <v>0</v>
      </c>
      <c r="B1" s="87" t="s">
        <v>1</v>
      </c>
      <c r="C1" s="87" t="s">
        <v>2</v>
      </c>
      <c r="D1" s="87" t="s">
        <v>335</v>
      </c>
      <c r="E1" s="87" t="s">
        <v>336</v>
      </c>
      <c r="F1" s="87" t="s">
        <v>337</v>
      </c>
      <c r="G1" s="87" t="s">
        <v>16</v>
      </c>
      <c r="H1" s="87" t="s">
        <v>338</v>
      </c>
      <c r="I1" s="87" t="s">
        <v>15</v>
      </c>
      <c r="J1" s="87" t="s">
        <v>339</v>
      </c>
      <c r="K1" s="87" t="s">
        <v>340</v>
      </c>
      <c r="L1" s="87" t="s">
        <v>10</v>
      </c>
      <c r="M1" s="87" t="s">
        <v>11</v>
      </c>
      <c r="N1" s="87" t="s">
        <v>12</v>
      </c>
      <c r="O1" s="87" t="s">
        <v>13</v>
      </c>
      <c r="P1" s="87" t="s">
        <v>14</v>
      </c>
      <c r="Q1" s="87" t="s">
        <v>85</v>
      </c>
      <c r="R1" s="87" t="s">
        <v>86</v>
      </c>
      <c r="S1" s="87" t="s">
        <v>87</v>
      </c>
      <c r="T1" s="87" t="s">
        <v>88</v>
      </c>
      <c r="U1" s="87"/>
      <c r="V1" s="88"/>
      <c r="W1" s="88"/>
      <c r="X1" s="88"/>
    </row>
    <row r="2" spans="1:24" x14ac:dyDescent="0.25">
      <c r="A2" s="104">
        <v>1</v>
      </c>
      <c r="B2" s="105" t="s">
        <v>92</v>
      </c>
      <c r="C2" s="106" t="s">
        <v>3</v>
      </c>
      <c r="D2" s="107"/>
      <c r="E2" s="107"/>
      <c r="F2" s="107"/>
      <c r="G2" s="104"/>
      <c r="H2" s="108"/>
      <c r="I2" s="109"/>
      <c r="J2" s="110"/>
      <c r="K2" s="110"/>
      <c r="L2" s="111"/>
      <c r="M2" s="111"/>
      <c r="N2" s="111"/>
      <c r="O2" s="111"/>
      <c r="P2" s="111"/>
      <c r="Q2" s="112"/>
      <c r="R2" s="112"/>
      <c r="S2" s="112"/>
      <c r="T2" s="112"/>
      <c r="U2" s="35" t="s">
        <v>239</v>
      </c>
      <c r="V2" s="39"/>
      <c r="W2" s="39"/>
      <c r="X2" s="39"/>
    </row>
    <row r="3" spans="1:24" x14ac:dyDescent="0.25">
      <c r="A3" s="49">
        <v>2</v>
      </c>
      <c r="B3" s="56" t="s">
        <v>94</v>
      </c>
      <c r="C3" s="61" t="s">
        <v>3</v>
      </c>
      <c r="D3" s="53">
        <v>8</v>
      </c>
      <c r="E3" s="53">
        <v>10</v>
      </c>
      <c r="F3" s="53" t="s">
        <v>434</v>
      </c>
      <c r="G3" s="53" t="s">
        <v>348</v>
      </c>
      <c r="H3" s="80">
        <v>16</v>
      </c>
      <c r="I3" s="62">
        <v>3.37</v>
      </c>
      <c r="J3" s="44">
        <v>1</v>
      </c>
      <c r="K3" s="44">
        <v>2</v>
      </c>
      <c r="L3" s="71"/>
      <c r="M3" s="71"/>
      <c r="N3" s="71"/>
      <c r="O3" s="71"/>
      <c r="P3" s="71"/>
      <c r="Q3" s="66"/>
      <c r="R3" s="66"/>
      <c r="S3" s="66"/>
      <c r="T3" s="66"/>
      <c r="U3" s="35" t="s">
        <v>239</v>
      </c>
      <c r="V3" s="39"/>
      <c r="W3" s="39"/>
      <c r="X3" s="39"/>
    </row>
    <row r="4" spans="1:24" x14ac:dyDescent="0.25">
      <c r="A4" s="49">
        <v>3</v>
      </c>
      <c r="B4" s="56" t="s">
        <v>93</v>
      </c>
      <c r="C4" s="61" t="s">
        <v>3</v>
      </c>
      <c r="D4" s="53">
        <v>3</v>
      </c>
      <c r="E4" s="53">
        <v>7</v>
      </c>
      <c r="F4" s="53" t="s">
        <v>550</v>
      </c>
      <c r="G4" s="49" t="s">
        <v>549</v>
      </c>
      <c r="H4" s="78">
        <v>16</v>
      </c>
      <c r="I4" s="62">
        <v>3.4</v>
      </c>
      <c r="J4" s="44">
        <v>1</v>
      </c>
      <c r="K4" s="44">
        <v>2</v>
      </c>
      <c r="L4" s="70"/>
      <c r="M4" s="70"/>
      <c r="N4" s="70"/>
      <c r="O4" s="70"/>
      <c r="P4" s="70"/>
      <c r="Q4" s="66"/>
      <c r="R4" s="66"/>
      <c r="S4" s="66"/>
      <c r="T4" s="66"/>
      <c r="U4" s="35" t="s">
        <v>239</v>
      </c>
      <c r="V4" s="39"/>
      <c r="W4" s="39"/>
      <c r="X4" s="39"/>
    </row>
    <row r="5" spans="1:24" x14ac:dyDescent="0.25">
      <c r="A5" s="49">
        <v>4</v>
      </c>
      <c r="B5" s="56" t="s">
        <v>95</v>
      </c>
      <c r="C5" s="61" t="s">
        <v>3</v>
      </c>
      <c r="D5" s="53">
        <v>2</v>
      </c>
      <c r="E5" s="53">
        <v>5</v>
      </c>
      <c r="F5" s="53" t="s">
        <v>553</v>
      </c>
      <c r="G5" s="49" t="s">
        <v>552</v>
      </c>
      <c r="H5" s="78">
        <v>16</v>
      </c>
      <c r="I5" s="62">
        <v>4.93</v>
      </c>
      <c r="J5" s="44">
        <v>1</v>
      </c>
      <c r="K5" s="44">
        <v>1</v>
      </c>
      <c r="L5" s="70"/>
      <c r="M5" s="70"/>
      <c r="N5" s="70"/>
      <c r="O5" s="70"/>
      <c r="P5" s="70"/>
      <c r="Q5" s="66"/>
      <c r="R5" s="66"/>
      <c r="S5" s="66"/>
      <c r="T5" s="66"/>
      <c r="U5" s="35" t="s">
        <v>239</v>
      </c>
      <c r="V5" s="39"/>
      <c r="W5" s="39"/>
      <c r="X5" s="39"/>
    </row>
    <row r="6" spans="1:24" x14ac:dyDescent="0.25">
      <c r="A6" s="49">
        <v>5</v>
      </c>
      <c r="B6" s="56" t="s">
        <v>96</v>
      </c>
      <c r="C6" s="61" t="s">
        <v>3</v>
      </c>
      <c r="D6" s="53">
        <v>4</v>
      </c>
      <c r="E6" s="53">
        <v>9</v>
      </c>
      <c r="F6" s="53" t="s">
        <v>501</v>
      </c>
      <c r="G6" s="49" t="s">
        <v>502</v>
      </c>
      <c r="H6" s="78">
        <v>16</v>
      </c>
      <c r="I6" s="62">
        <v>4.01</v>
      </c>
      <c r="J6" s="44">
        <v>1</v>
      </c>
      <c r="K6" s="44">
        <v>2</v>
      </c>
      <c r="L6" s="70"/>
      <c r="M6" s="70"/>
      <c r="N6" s="70"/>
      <c r="O6" s="70"/>
      <c r="P6" s="70"/>
      <c r="Q6" s="66"/>
      <c r="R6" s="66"/>
      <c r="S6" s="66"/>
      <c r="T6" s="66"/>
      <c r="U6" s="35" t="s">
        <v>239</v>
      </c>
      <c r="V6" s="39"/>
      <c r="W6" s="39"/>
      <c r="X6" s="39"/>
    </row>
    <row r="7" spans="1:24" x14ac:dyDescent="0.25">
      <c r="A7" s="104">
        <v>6</v>
      </c>
      <c r="B7" s="105" t="s">
        <v>97</v>
      </c>
      <c r="C7" s="106" t="s">
        <v>3</v>
      </c>
      <c r="D7" s="107"/>
      <c r="E7" s="107"/>
      <c r="F7" s="107"/>
      <c r="G7" s="107"/>
      <c r="H7" s="108"/>
      <c r="I7" s="109"/>
      <c r="J7" s="110"/>
      <c r="K7" s="110"/>
      <c r="L7" s="111"/>
      <c r="M7" s="111"/>
      <c r="N7" s="111"/>
      <c r="O7" s="111"/>
      <c r="P7" s="111"/>
      <c r="Q7" s="112"/>
      <c r="R7" s="112"/>
      <c r="S7" s="112"/>
      <c r="T7" s="112"/>
      <c r="U7" s="35" t="s">
        <v>239</v>
      </c>
      <c r="V7" s="39"/>
      <c r="W7" s="39"/>
      <c r="X7" s="39"/>
    </row>
    <row r="8" spans="1:24" x14ac:dyDescent="0.25">
      <c r="A8" s="49">
        <v>7</v>
      </c>
      <c r="B8" s="56" t="s">
        <v>98</v>
      </c>
      <c r="C8" s="61" t="s">
        <v>3</v>
      </c>
      <c r="D8" s="49">
        <v>4</v>
      </c>
      <c r="E8" s="49">
        <v>8</v>
      </c>
      <c r="F8" s="49" t="s">
        <v>453</v>
      </c>
      <c r="G8" s="49" t="s">
        <v>355</v>
      </c>
      <c r="H8" s="78">
        <v>16</v>
      </c>
      <c r="I8" s="62">
        <v>3.96</v>
      </c>
      <c r="J8" s="44">
        <v>2</v>
      </c>
      <c r="K8" s="44">
        <v>3</v>
      </c>
      <c r="L8" s="71"/>
      <c r="M8" s="71"/>
      <c r="N8" s="71"/>
      <c r="O8" s="71"/>
      <c r="P8" s="71"/>
      <c r="Q8" s="66"/>
      <c r="R8" s="66"/>
      <c r="S8" s="66"/>
      <c r="T8" s="66"/>
      <c r="U8" s="35" t="s">
        <v>239</v>
      </c>
      <c r="V8" s="39"/>
      <c r="W8" s="39"/>
      <c r="X8" s="39"/>
    </row>
    <row r="9" spans="1:24" x14ac:dyDescent="0.25">
      <c r="A9" s="104">
        <v>8</v>
      </c>
      <c r="B9" s="105" t="s">
        <v>100</v>
      </c>
      <c r="C9" s="106" t="s">
        <v>3</v>
      </c>
      <c r="D9" s="113"/>
      <c r="E9" s="104"/>
      <c r="F9" s="104"/>
      <c r="G9" s="104"/>
      <c r="H9" s="108"/>
      <c r="I9" s="109"/>
      <c r="J9" s="110"/>
      <c r="K9" s="110"/>
      <c r="L9" s="107"/>
      <c r="M9" s="107"/>
      <c r="N9" s="107"/>
      <c r="O9" s="107"/>
      <c r="P9" s="107"/>
      <c r="Q9" s="112"/>
      <c r="R9" s="112"/>
      <c r="S9" s="112"/>
      <c r="T9" s="112"/>
      <c r="U9" s="35" t="s">
        <v>239</v>
      </c>
      <c r="V9" s="39"/>
      <c r="W9" s="39"/>
      <c r="X9" s="39"/>
    </row>
    <row r="10" spans="1:24" x14ac:dyDescent="0.25">
      <c r="A10" s="49">
        <v>9</v>
      </c>
      <c r="B10" s="56" t="s">
        <v>101</v>
      </c>
      <c r="C10" s="61" t="s">
        <v>3</v>
      </c>
      <c r="D10" s="53">
        <v>4</v>
      </c>
      <c r="E10" s="53">
        <v>6</v>
      </c>
      <c r="F10" s="53" t="s">
        <v>524</v>
      </c>
      <c r="G10" s="49" t="s">
        <v>523</v>
      </c>
      <c r="H10" s="78">
        <v>16</v>
      </c>
      <c r="I10" s="62">
        <v>4.68</v>
      </c>
      <c r="J10" s="44">
        <v>1</v>
      </c>
      <c r="K10" s="44">
        <v>1</v>
      </c>
      <c r="L10" s="72"/>
      <c r="M10" s="72"/>
      <c r="N10" s="72"/>
      <c r="O10" s="71"/>
      <c r="P10" s="72"/>
      <c r="Q10" s="66"/>
      <c r="R10" s="66"/>
      <c r="S10" s="66"/>
      <c r="T10" s="66"/>
      <c r="U10" s="35" t="s">
        <v>239</v>
      </c>
      <c r="V10" s="39"/>
      <c r="W10" s="39"/>
      <c r="X10" s="39"/>
    </row>
    <row r="11" spans="1:24" x14ac:dyDescent="0.25">
      <c r="A11" s="49">
        <v>10</v>
      </c>
      <c r="B11" s="56" t="s">
        <v>143</v>
      </c>
      <c r="C11" s="61" t="s">
        <v>3</v>
      </c>
      <c r="D11" s="53">
        <v>2</v>
      </c>
      <c r="E11" s="53">
        <v>5</v>
      </c>
      <c r="F11" s="53" t="s">
        <v>646</v>
      </c>
      <c r="G11" s="49" t="s">
        <v>647</v>
      </c>
      <c r="H11" s="78"/>
      <c r="I11" s="64"/>
      <c r="J11" s="44"/>
      <c r="K11" s="44"/>
      <c r="L11" s="49"/>
      <c r="M11" s="49"/>
      <c r="N11" s="49"/>
      <c r="O11" s="49"/>
      <c r="P11" s="49"/>
      <c r="Q11" s="66"/>
      <c r="R11" s="66"/>
      <c r="S11" s="66"/>
      <c r="T11" s="66"/>
      <c r="U11" s="35" t="s">
        <v>239</v>
      </c>
      <c r="V11" s="39"/>
      <c r="W11" s="39"/>
      <c r="X11" s="39"/>
    </row>
    <row r="12" spans="1:24" x14ac:dyDescent="0.25">
      <c r="A12" s="49">
        <v>11</v>
      </c>
      <c r="B12" s="56" t="s">
        <v>103</v>
      </c>
      <c r="C12" s="61" t="s">
        <v>3</v>
      </c>
      <c r="D12" s="49">
        <v>2</v>
      </c>
      <c r="E12" s="49">
        <v>11</v>
      </c>
      <c r="F12" s="49" t="s">
        <v>701</v>
      </c>
      <c r="G12" s="49" t="s">
        <v>523</v>
      </c>
      <c r="H12" s="78">
        <v>16</v>
      </c>
      <c r="I12" s="62">
        <v>4.3899999999999997</v>
      </c>
      <c r="J12" s="44">
        <v>1</v>
      </c>
      <c r="K12" s="44">
        <v>1</v>
      </c>
      <c r="L12" s="72"/>
      <c r="M12" s="72"/>
      <c r="N12" s="72"/>
      <c r="O12" s="72"/>
      <c r="P12" s="72"/>
      <c r="Q12" s="66"/>
      <c r="R12" s="66"/>
      <c r="S12" s="66"/>
      <c r="T12" s="66"/>
      <c r="U12" s="35" t="s">
        <v>239</v>
      </c>
      <c r="V12" s="39"/>
      <c r="W12" s="39"/>
      <c r="X12" s="39"/>
    </row>
    <row r="13" spans="1:24" x14ac:dyDescent="0.25">
      <c r="A13" s="49">
        <v>12</v>
      </c>
      <c r="B13" s="56" t="s">
        <v>102</v>
      </c>
      <c r="C13" s="61" t="s">
        <v>3</v>
      </c>
      <c r="D13" s="53">
        <v>3</v>
      </c>
      <c r="E13" s="53">
        <v>7</v>
      </c>
      <c r="F13" s="53" t="s">
        <v>511</v>
      </c>
      <c r="G13" s="49" t="s">
        <v>510</v>
      </c>
      <c r="H13" s="78">
        <v>16</v>
      </c>
      <c r="I13" s="62">
        <v>4.67</v>
      </c>
      <c r="J13" s="44"/>
      <c r="K13" s="44"/>
      <c r="L13" s="72"/>
      <c r="M13" s="72"/>
      <c r="N13" s="72"/>
      <c r="O13" s="72"/>
      <c r="P13" s="72"/>
      <c r="Q13" s="66"/>
      <c r="R13" s="66"/>
      <c r="S13" s="66"/>
      <c r="T13" s="66"/>
      <c r="U13" s="35" t="s">
        <v>239</v>
      </c>
      <c r="V13" s="39"/>
      <c r="W13" s="39"/>
      <c r="X13" s="39"/>
    </row>
    <row r="14" spans="1:24" x14ac:dyDescent="0.25">
      <c r="A14" s="49">
        <v>13</v>
      </c>
      <c r="B14" s="56" t="s">
        <v>99</v>
      </c>
      <c r="C14" s="61" t="s">
        <v>3</v>
      </c>
      <c r="D14" s="53">
        <v>1</v>
      </c>
      <c r="E14" s="53">
        <v>6</v>
      </c>
      <c r="F14" s="53" t="s">
        <v>636</v>
      </c>
      <c r="G14" s="53" t="s">
        <v>637</v>
      </c>
      <c r="H14" s="78">
        <v>16</v>
      </c>
      <c r="I14" s="62">
        <v>4.2300000000000004</v>
      </c>
      <c r="J14" s="44"/>
      <c r="K14" s="44"/>
      <c r="L14" s="70"/>
      <c r="M14" s="70"/>
      <c r="N14" s="70"/>
      <c r="O14" s="70"/>
      <c r="P14" s="70"/>
      <c r="Q14" s="66"/>
      <c r="R14" s="66"/>
      <c r="S14" s="66"/>
      <c r="T14" s="66"/>
      <c r="U14" s="35" t="s">
        <v>239</v>
      </c>
      <c r="V14" s="39"/>
      <c r="W14" s="39"/>
      <c r="X14" s="39"/>
    </row>
    <row r="15" spans="1:24" x14ac:dyDescent="0.25">
      <c r="A15" s="104">
        <v>14</v>
      </c>
      <c r="B15" s="105" t="s">
        <v>146</v>
      </c>
      <c r="C15" s="106" t="s">
        <v>3</v>
      </c>
      <c r="D15" s="107"/>
      <c r="E15" s="107"/>
      <c r="F15" s="107"/>
      <c r="G15" s="107"/>
      <c r="H15" s="108"/>
      <c r="I15" s="109"/>
      <c r="J15" s="110"/>
      <c r="K15" s="110"/>
      <c r="L15" s="104"/>
      <c r="M15" s="104"/>
      <c r="N15" s="104"/>
      <c r="O15" s="104"/>
      <c r="P15" s="104"/>
      <c r="Q15" s="112"/>
      <c r="R15" s="112"/>
      <c r="S15" s="112"/>
      <c r="T15" s="112"/>
      <c r="U15" s="35" t="s">
        <v>239</v>
      </c>
      <c r="V15" s="39"/>
      <c r="W15" s="39"/>
      <c r="X15" s="39"/>
    </row>
    <row r="16" spans="1:24" x14ac:dyDescent="0.25">
      <c r="A16" s="49">
        <v>15</v>
      </c>
      <c r="B16" s="56" t="s">
        <v>265</v>
      </c>
      <c r="C16" s="61" t="s">
        <v>3</v>
      </c>
      <c r="D16" s="55">
        <v>1</v>
      </c>
      <c r="E16" s="55">
        <v>6</v>
      </c>
      <c r="F16" s="55" t="s">
        <v>559</v>
      </c>
      <c r="G16" s="55" t="s">
        <v>558</v>
      </c>
      <c r="H16" s="78">
        <v>16</v>
      </c>
      <c r="I16" s="62">
        <v>4.55</v>
      </c>
      <c r="J16" s="44">
        <v>1</v>
      </c>
      <c r="K16" s="44">
        <v>1</v>
      </c>
      <c r="L16" s="49"/>
      <c r="M16" s="49"/>
      <c r="N16" s="49"/>
      <c r="O16" s="49"/>
      <c r="P16" s="49"/>
      <c r="Q16" s="66"/>
      <c r="R16" s="66"/>
      <c r="S16" s="66"/>
      <c r="T16" s="66"/>
      <c r="U16" s="35" t="s">
        <v>239</v>
      </c>
      <c r="V16" s="39"/>
      <c r="W16" s="39"/>
      <c r="X16" s="39"/>
    </row>
    <row r="17" spans="1:24" x14ac:dyDescent="0.25">
      <c r="A17" s="104">
        <v>16</v>
      </c>
      <c r="B17" s="105" t="s">
        <v>266</v>
      </c>
      <c r="C17" s="106" t="s">
        <v>3</v>
      </c>
      <c r="D17" s="114"/>
      <c r="E17" s="114"/>
      <c r="F17" s="114"/>
      <c r="G17" s="114"/>
      <c r="H17" s="108"/>
      <c r="I17" s="109"/>
      <c r="J17" s="110"/>
      <c r="K17" s="110"/>
      <c r="L17" s="104"/>
      <c r="M17" s="104"/>
      <c r="N17" s="104"/>
      <c r="O17" s="104"/>
      <c r="P17" s="104"/>
      <c r="Q17" s="112"/>
      <c r="R17" s="112"/>
      <c r="S17" s="112"/>
      <c r="T17" s="112"/>
      <c r="U17" s="35" t="s">
        <v>239</v>
      </c>
      <c r="V17" s="39"/>
      <c r="W17" s="39"/>
      <c r="X17" s="39"/>
    </row>
    <row r="18" spans="1:24" x14ac:dyDescent="0.25">
      <c r="A18" s="104">
        <v>17</v>
      </c>
      <c r="B18" s="115" t="s">
        <v>317</v>
      </c>
      <c r="C18" s="116" t="s">
        <v>3</v>
      </c>
      <c r="D18" s="117"/>
      <c r="E18" s="117"/>
      <c r="F18" s="117"/>
      <c r="G18" s="117"/>
      <c r="H18" s="108"/>
      <c r="I18" s="109"/>
      <c r="J18" s="110"/>
      <c r="K18" s="110"/>
      <c r="L18" s="104"/>
      <c r="M18" s="104"/>
      <c r="N18" s="104"/>
      <c r="O18" s="104"/>
      <c r="P18" s="104"/>
      <c r="Q18" s="112"/>
      <c r="R18" s="112"/>
      <c r="S18" s="112"/>
      <c r="T18" s="112"/>
      <c r="U18" s="35" t="s">
        <v>239</v>
      </c>
      <c r="V18" s="39"/>
      <c r="W18" s="39"/>
      <c r="X18" s="39"/>
    </row>
    <row r="19" spans="1:24" x14ac:dyDescent="0.25">
      <c r="A19" s="104">
        <v>18</v>
      </c>
      <c r="B19" s="115" t="s">
        <v>318</v>
      </c>
      <c r="C19" s="116" t="s">
        <v>3</v>
      </c>
      <c r="D19" s="118"/>
      <c r="E19" s="118"/>
      <c r="F19" s="118"/>
      <c r="G19" s="118"/>
      <c r="H19" s="117"/>
      <c r="I19" s="119"/>
      <c r="J19" s="120"/>
      <c r="K19" s="120"/>
      <c r="L19" s="117"/>
      <c r="M19" s="117"/>
      <c r="N19" s="117"/>
      <c r="O19" s="117"/>
      <c r="P19" s="117"/>
      <c r="Q19" s="115"/>
      <c r="R19" s="115"/>
      <c r="S19" s="115"/>
      <c r="T19" s="115"/>
      <c r="U19" s="91" t="s">
        <v>239</v>
      </c>
      <c r="V19" s="39"/>
      <c r="W19" s="39"/>
      <c r="X19" s="39"/>
    </row>
    <row r="20" spans="1:24" x14ac:dyDescent="0.25">
      <c r="A20" s="49">
        <v>19</v>
      </c>
      <c r="B20" s="48" t="s">
        <v>378</v>
      </c>
      <c r="C20" s="47" t="s">
        <v>3</v>
      </c>
      <c r="D20" s="54">
        <v>3</v>
      </c>
      <c r="E20" s="54">
        <v>11</v>
      </c>
      <c r="F20" s="54" t="s">
        <v>489</v>
      </c>
      <c r="G20" s="54" t="s">
        <v>367</v>
      </c>
      <c r="H20" s="82">
        <v>16</v>
      </c>
      <c r="I20" s="63">
        <v>4.9400000000000004</v>
      </c>
      <c r="J20" s="46"/>
      <c r="K20" s="46"/>
      <c r="L20" s="73"/>
      <c r="M20" s="73"/>
      <c r="N20" s="73"/>
      <c r="O20" s="73"/>
      <c r="P20" s="73"/>
      <c r="Q20" s="67"/>
      <c r="R20" s="67"/>
      <c r="S20" s="67"/>
      <c r="T20" s="67"/>
      <c r="U20" s="91" t="s">
        <v>239</v>
      </c>
      <c r="V20" s="39"/>
      <c r="W20" s="39"/>
      <c r="X20" s="39"/>
    </row>
    <row r="21" spans="1:24" x14ac:dyDescent="0.25">
      <c r="A21" s="104">
        <v>20</v>
      </c>
      <c r="B21" s="115" t="s">
        <v>383</v>
      </c>
      <c r="C21" s="116" t="s">
        <v>3</v>
      </c>
      <c r="D21" s="118"/>
      <c r="E21" s="118"/>
      <c r="F21" s="118"/>
      <c r="G21" s="118"/>
      <c r="H21" s="117"/>
      <c r="I21" s="119"/>
      <c r="J21" s="120"/>
      <c r="K21" s="120"/>
      <c r="L21" s="121"/>
      <c r="M21" s="121"/>
      <c r="N21" s="121"/>
      <c r="O21" s="121"/>
      <c r="P21" s="121"/>
      <c r="Q21" s="122"/>
      <c r="R21" s="122"/>
      <c r="S21" s="122"/>
      <c r="T21" s="122"/>
      <c r="U21" s="91" t="s">
        <v>239</v>
      </c>
      <c r="V21" s="39"/>
      <c r="W21" s="39"/>
      <c r="X21" s="39"/>
    </row>
    <row r="22" spans="1:24" x14ac:dyDescent="0.25">
      <c r="A22" s="49">
        <v>21</v>
      </c>
      <c r="B22" s="48" t="s">
        <v>734</v>
      </c>
      <c r="C22" s="47" t="s">
        <v>3</v>
      </c>
      <c r="D22" s="54">
        <v>2</v>
      </c>
      <c r="E22" s="54">
        <v>4</v>
      </c>
      <c r="F22" s="54" t="s">
        <v>735</v>
      </c>
      <c r="G22" s="54" t="s">
        <v>514</v>
      </c>
      <c r="H22" s="81">
        <v>16</v>
      </c>
      <c r="I22" s="63">
        <v>5</v>
      </c>
      <c r="J22" s="46"/>
      <c r="K22" s="46"/>
      <c r="L22" s="73"/>
      <c r="M22" s="73"/>
      <c r="N22" s="73"/>
      <c r="O22" s="73"/>
      <c r="P22" s="73"/>
      <c r="Q22" s="67"/>
      <c r="R22" s="67"/>
      <c r="S22" s="67"/>
      <c r="T22" s="67"/>
      <c r="U22" s="91"/>
      <c r="V22" s="39"/>
      <c r="W22" s="39"/>
      <c r="X22" s="39"/>
    </row>
    <row r="23" spans="1:24" x14ac:dyDescent="0.25">
      <c r="A23" s="49">
        <v>22</v>
      </c>
      <c r="B23" s="48" t="s">
        <v>736</v>
      </c>
      <c r="C23" s="47" t="s">
        <v>3</v>
      </c>
      <c r="D23" s="54">
        <v>2</v>
      </c>
      <c r="E23" s="54">
        <v>8</v>
      </c>
      <c r="F23" s="54" t="s">
        <v>737</v>
      </c>
      <c r="G23" s="54" t="s">
        <v>573</v>
      </c>
      <c r="H23" s="81">
        <v>16</v>
      </c>
      <c r="I23" s="63">
        <v>4.9400000000000004</v>
      </c>
      <c r="J23" s="46"/>
      <c r="K23" s="46"/>
      <c r="L23" s="73"/>
      <c r="M23" s="73"/>
      <c r="N23" s="73"/>
      <c r="O23" s="73"/>
      <c r="P23" s="73"/>
      <c r="Q23" s="67"/>
      <c r="R23" s="67"/>
      <c r="S23" s="67"/>
      <c r="T23" s="67"/>
      <c r="U23" s="91"/>
      <c r="V23" s="39"/>
      <c r="W23" s="39"/>
      <c r="X23" s="39"/>
    </row>
    <row r="24" spans="1:24" x14ac:dyDescent="0.25">
      <c r="A24" s="49">
        <v>23</v>
      </c>
      <c r="B24" s="48" t="s">
        <v>738</v>
      </c>
      <c r="C24" s="47" t="s">
        <v>3</v>
      </c>
      <c r="D24" s="54">
        <v>1</v>
      </c>
      <c r="E24" s="54">
        <v>4</v>
      </c>
      <c r="F24" s="54" t="s">
        <v>739</v>
      </c>
      <c r="G24" s="54" t="s">
        <v>597</v>
      </c>
      <c r="H24" s="81">
        <v>16</v>
      </c>
      <c r="I24" s="63">
        <v>5</v>
      </c>
      <c r="J24" s="46"/>
      <c r="K24" s="46"/>
      <c r="L24" s="73"/>
      <c r="M24" s="73"/>
      <c r="N24" s="73"/>
      <c r="O24" s="73"/>
      <c r="P24" s="73"/>
      <c r="Q24" s="67"/>
      <c r="R24" s="67"/>
      <c r="S24" s="67"/>
      <c r="T24" s="67"/>
      <c r="U24" s="91"/>
      <c r="V24" s="39"/>
      <c r="W24" s="39"/>
      <c r="X24" s="39"/>
    </row>
    <row r="25" spans="1:24" x14ac:dyDescent="0.25">
      <c r="A25" s="49">
        <v>24</v>
      </c>
      <c r="B25" s="56" t="s">
        <v>104</v>
      </c>
      <c r="C25" s="61" t="s">
        <v>219</v>
      </c>
      <c r="D25" s="49">
        <v>2</v>
      </c>
      <c r="E25" s="49">
        <v>9</v>
      </c>
      <c r="F25" s="49" t="s">
        <v>518</v>
      </c>
      <c r="G25" s="49" t="s">
        <v>519</v>
      </c>
      <c r="H25" s="81">
        <v>16</v>
      </c>
      <c r="I25" s="63">
        <v>3.69</v>
      </c>
      <c r="J25" s="46">
        <v>1</v>
      </c>
      <c r="K25" s="46">
        <v>1</v>
      </c>
      <c r="L25" s="73"/>
      <c r="M25" s="73"/>
      <c r="N25" s="73"/>
      <c r="O25" s="73"/>
      <c r="P25" s="73"/>
      <c r="Q25" s="67"/>
      <c r="R25" s="67"/>
      <c r="S25" s="67"/>
      <c r="T25" s="67"/>
      <c r="U25" s="91" t="s">
        <v>239</v>
      </c>
      <c r="V25" s="39"/>
      <c r="W25" s="39"/>
      <c r="X25" s="39"/>
    </row>
    <row r="26" spans="1:24" x14ac:dyDescent="0.25">
      <c r="A26" s="49">
        <v>25</v>
      </c>
      <c r="B26" s="56" t="s">
        <v>148</v>
      </c>
      <c r="C26" s="61" t="s">
        <v>219</v>
      </c>
      <c r="D26" s="49">
        <v>3</v>
      </c>
      <c r="E26" s="49">
        <v>4</v>
      </c>
      <c r="F26" s="49" t="s">
        <v>515</v>
      </c>
      <c r="G26" s="49" t="s">
        <v>514</v>
      </c>
      <c r="H26" s="81">
        <v>16</v>
      </c>
      <c r="I26" s="63">
        <v>4.7</v>
      </c>
      <c r="J26" s="46">
        <v>0</v>
      </c>
      <c r="K26" s="46">
        <v>1</v>
      </c>
      <c r="L26" s="73"/>
      <c r="M26" s="73"/>
      <c r="N26" s="73"/>
      <c r="O26" s="73"/>
      <c r="P26" s="73"/>
      <c r="Q26" s="67"/>
      <c r="R26" s="67"/>
      <c r="S26" s="67"/>
      <c r="T26" s="67"/>
      <c r="U26" s="91" t="s">
        <v>239</v>
      </c>
      <c r="V26" s="39"/>
      <c r="W26" s="39"/>
      <c r="X26" s="39"/>
    </row>
    <row r="27" spans="1:24" x14ac:dyDescent="0.25">
      <c r="A27" s="49">
        <v>26</v>
      </c>
      <c r="B27" s="56" t="s">
        <v>386</v>
      </c>
      <c r="C27" s="61" t="s">
        <v>219</v>
      </c>
      <c r="D27" s="49">
        <v>1</v>
      </c>
      <c r="E27" s="49">
        <v>4</v>
      </c>
      <c r="F27" s="49" t="s">
        <v>445</v>
      </c>
      <c r="G27" s="49" t="s">
        <v>352</v>
      </c>
      <c r="H27" s="78">
        <v>16</v>
      </c>
      <c r="I27" s="62">
        <v>4.88</v>
      </c>
      <c r="J27" s="44">
        <v>2</v>
      </c>
      <c r="K27" s="44">
        <v>2</v>
      </c>
      <c r="L27" s="71"/>
      <c r="M27" s="71"/>
      <c r="N27" s="71"/>
      <c r="O27" s="71"/>
      <c r="P27" s="71"/>
      <c r="Q27" s="66"/>
      <c r="R27" s="66"/>
      <c r="S27" s="66"/>
      <c r="T27" s="66"/>
      <c r="U27" s="35" t="s">
        <v>239</v>
      </c>
      <c r="V27" s="39"/>
      <c r="W27" s="39"/>
      <c r="X27" s="39"/>
    </row>
    <row r="28" spans="1:24" x14ac:dyDescent="0.25">
      <c r="A28" s="49">
        <v>27</v>
      </c>
      <c r="B28" s="56" t="s">
        <v>223</v>
      </c>
      <c r="C28" s="61" t="s">
        <v>219</v>
      </c>
      <c r="D28" s="53">
        <v>3</v>
      </c>
      <c r="E28" s="53">
        <v>18</v>
      </c>
      <c r="F28" s="53" t="s">
        <v>604</v>
      </c>
      <c r="G28" s="53" t="s">
        <v>602</v>
      </c>
      <c r="H28" s="78">
        <v>16</v>
      </c>
      <c r="I28" s="64">
        <v>4.26</v>
      </c>
      <c r="J28" s="44">
        <v>1</v>
      </c>
      <c r="K28" s="44">
        <v>2</v>
      </c>
      <c r="L28" s="71"/>
      <c r="M28" s="71"/>
      <c r="N28" s="71"/>
      <c r="O28" s="71"/>
      <c r="P28" s="71"/>
      <c r="Q28" s="66"/>
      <c r="R28" s="66"/>
      <c r="S28" s="66"/>
      <c r="T28" s="66"/>
      <c r="U28" s="35" t="s">
        <v>239</v>
      </c>
      <c r="V28" s="39"/>
      <c r="W28" s="39"/>
      <c r="X28" s="39"/>
    </row>
    <row r="29" spans="1:24" x14ac:dyDescent="0.25">
      <c r="A29" s="49">
        <v>28</v>
      </c>
      <c r="B29" s="56" t="s">
        <v>154</v>
      </c>
      <c r="C29" s="61" t="s">
        <v>219</v>
      </c>
      <c r="D29" s="53">
        <v>3</v>
      </c>
      <c r="E29" s="53">
        <v>9</v>
      </c>
      <c r="F29" s="53" t="s">
        <v>512</v>
      </c>
      <c r="G29" s="53" t="s">
        <v>510</v>
      </c>
      <c r="H29" s="78">
        <v>16</v>
      </c>
      <c r="I29" s="62">
        <v>4.4000000000000004</v>
      </c>
      <c r="J29" s="44">
        <v>1</v>
      </c>
      <c r="K29" s="44">
        <v>3</v>
      </c>
      <c r="L29" s="71"/>
      <c r="M29" s="71"/>
      <c r="N29" s="71"/>
      <c r="O29" s="71"/>
      <c r="P29" s="71"/>
      <c r="Q29" s="57"/>
      <c r="R29" s="66"/>
      <c r="S29" s="66"/>
      <c r="T29" s="66"/>
      <c r="U29" s="35" t="s">
        <v>239</v>
      </c>
      <c r="V29" s="39"/>
      <c r="W29" s="39"/>
      <c r="X29" s="39"/>
    </row>
    <row r="30" spans="1:24" x14ac:dyDescent="0.25">
      <c r="A30" s="49">
        <v>29</v>
      </c>
      <c r="B30" s="56" t="s">
        <v>106</v>
      </c>
      <c r="C30" s="61" t="s">
        <v>219</v>
      </c>
      <c r="D30" s="53">
        <v>2</v>
      </c>
      <c r="E30" s="53">
        <v>7</v>
      </c>
      <c r="F30" s="53" t="s">
        <v>595</v>
      </c>
      <c r="G30" s="53" t="s">
        <v>593</v>
      </c>
      <c r="H30" s="83">
        <v>16</v>
      </c>
      <c r="I30" s="62">
        <v>4.5</v>
      </c>
      <c r="J30" s="44">
        <v>1</v>
      </c>
      <c r="K30" s="44">
        <v>1</v>
      </c>
      <c r="L30" s="72"/>
      <c r="M30" s="72"/>
      <c r="N30" s="72"/>
      <c r="O30" s="72"/>
      <c r="P30" s="72"/>
      <c r="Q30" s="66"/>
      <c r="R30" s="66"/>
      <c r="S30" s="66"/>
      <c r="T30" s="66"/>
      <c r="U30" s="75" t="s">
        <v>239</v>
      </c>
      <c r="V30" s="39"/>
      <c r="W30" s="39"/>
      <c r="X30" s="39"/>
    </row>
    <row r="31" spans="1:24" x14ac:dyDescent="0.25">
      <c r="A31" s="49">
        <v>30</v>
      </c>
      <c r="B31" s="56" t="s">
        <v>107</v>
      </c>
      <c r="C31" s="61" t="s">
        <v>219</v>
      </c>
      <c r="D31" s="53">
        <v>1</v>
      </c>
      <c r="E31" s="53">
        <v>4</v>
      </c>
      <c r="F31" s="53" t="s">
        <v>557</v>
      </c>
      <c r="G31" s="53" t="s">
        <v>558</v>
      </c>
      <c r="H31" s="78">
        <v>16</v>
      </c>
      <c r="I31" s="62">
        <v>4.5</v>
      </c>
      <c r="J31" s="44">
        <v>2</v>
      </c>
      <c r="K31" s="44">
        <v>2</v>
      </c>
      <c r="L31" s="72"/>
      <c r="M31" s="72"/>
      <c r="N31" s="72"/>
      <c r="O31" s="72"/>
      <c r="P31" s="72"/>
      <c r="Q31" s="66"/>
      <c r="R31" s="66"/>
      <c r="S31" s="66"/>
      <c r="T31" s="66"/>
      <c r="U31" s="35" t="s">
        <v>239</v>
      </c>
      <c r="V31" s="39"/>
      <c r="W31" s="39"/>
      <c r="X31" s="39"/>
    </row>
    <row r="32" spans="1:24" x14ac:dyDescent="0.25">
      <c r="A32" s="49">
        <v>31</v>
      </c>
      <c r="B32" s="56" t="s">
        <v>109</v>
      </c>
      <c r="C32" s="61" t="s">
        <v>219</v>
      </c>
      <c r="D32" s="49">
        <v>3</v>
      </c>
      <c r="E32" s="49">
        <v>9</v>
      </c>
      <c r="F32" s="49" t="s">
        <v>548</v>
      </c>
      <c r="G32" s="49" t="s">
        <v>549</v>
      </c>
      <c r="H32" s="78">
        <v>16</v>
      </c>
      <c r="I32" s="62">
        <v>2.84</v>
      </c>
      <c r="J32" s="44">
        <v>1</v>
      </c>
      <c r="K32" s="44">
        <v>1</v>
      </c>
      <c r="L32" s="72"/>
      <c r="M32" s="72"/>
      <c r="N32" s="72"/>
      <c r="O32" s="72"/>
      <c r="P32" s="72"/>
      <c r="Q32" s="66"/>
      <c r="R32" s="66"/>
      <c r="S32" s="66"/>
      <c r="T32" s="66"/>
      <c r="U32" s="35" t="s">
        <v>239</v>
      </c>
      <c r="V32" s="39"/>
      <c r="W32" s="39"/>
      <c r="X32" s="39"/>
    </row>
    <row r="33" spans="1:24" x14ac:dyDescent="0.25">
      <c r="A33" s="49">
        <v>32</v>
      </c>
      <c r="B33" s="56" t="s">
        <v>108</v>
      </c>
      <c r="C33" s="61" t="s">
        <v>219</v>
      </c>
      <c r="D33" s="53">
        <v>2</v>
      </c>
      <c r="E33" s="53">
        <v>10</v>
      </c>
      <c r="F33" s="53" t="s">
        <v>508</v>
      </c>
      <c r="G33" s="53" t="s">
        <v>502</v>
      </c>
      <c r="H33" s="78">
        <v>16</v>
      </c>
      <c r="I33" s="62">
        <v>4.95</v>
      </c>
      <c r="J33" s="44">
        <v>1</v>
      </c>
      <c r="K33" s="44">
        <v>1</v>
      </c>
      <c r="L33" s="72"/>
      <c r="M33" s="72"/>
      <c r="N33" s="72"/>
      <c r="O33" s="72"/>
      <c r="P33" s="72"/>
      <c r="Q33" s="66"/>
      <c r="R33" s="66"/>
      <c r="S33" s="66"/>
      <c r="T33" s="66"/>
      <c r="U33" s="35" t="s">
        <v>239</v>
      </c>
      <c r="V33" s="39"/>
      <c r="W33" s="39"/>
      <c r="X33" s="39"/>
    </row>
    <row r="34" spans="1:24" x14ac:dyDescent="0.25">
      <c r="A34" s="49">
        <v>33</v>
      </c>
      <c r="B34" s="56" t="s">
        <v>254</v>
      </c>
      <c r="C34" s="61" t="s">
        <v>219</v>
      </c>
      <c r="D34" s="55">
        <v>2</v>
      </c>
      <c r="E34" s="55">
        <v>9</v>
      </c>
      <c r="F34" s="55" t="s">
        <v>480</v>
      </c>
      <c r="G34" s="55" t="s">
        <v>477</v>
      </c>
      <c r="H34" s="78">
        <v>15</v>
      </c>
      <c r="I34" s="62">
        <v>1.36</v>
      </c>
      <c r="J34" s="44">
        <v>2</v>
      </c>
      <c r="K34" s="44">
        <v>1</v>
      </c>
      <c r="L34" s="71"/>
      <c r="M34" s="71"/>
      <c r="N34" s="71"/>
      <c r="O34" s="71"/>
      <c r="P34" s="71"/>
      <c r="Q34" s="66"/>
      <c r="R34" s="66"/>
      <c r="S34" s="66"/>
      <c r="T34" s="66"/>
      <c r="U34" s="35" t="s">
        <v>239</v>
      </c>
      <c r="V34" s="39"/>
      <c r="W34" s="39"/>
      <c r="X34" s="39"/>
    </row>
    <row r="35" spans="1:24" ht="15.75" customHeight="1" x14ac:dyDescent="0.25">
      <c r="A35" s="49">
        <v>34</v>
      </c>
      <c r="B35" s="56" t="s">
        <v>105</v>
      </c>
      <c r="C35" s="61" t="s">
        <v>219</v>
      </c>
      <c r="D35" s="53">
        <v>2</v>
      </c>
      <c r="E35" s="53">
        <v>6</v>
      </c>
      <c r="F35" s="53" t="s">
        <v>534</v>
      </c>
      <c r="G35" s="53" t="s">
        <v>533</v>
      </c>
      <c r="H35" s="78">
        <v>16</v>
      </c>
      <c r="I35" s="62">
        <v>4.37</v>
      </c>
      <c r="J35" s="44">
        <v>2</v>
      </c>
      <c r="K35" s="44">
        <v>1</v>
      </c>
      <c r="L35" s="72"/>
      <c r="M35" s="72"/>
      <c r="N35" s="72"/>
      <c r="O35" s="72"/>
      <c r="P35" s="72"/>
      <c r="Q35" s="66"/>
      <c r="R35" s="66"/>
      <c r="S35" s="66"/>
      <c r="T35" s="66"/>
      <c r="U35" s="35" t="s">
        <v>239</v>
      </c>
      <c r="V35" s="39"/>
      <c r="W35" s="39"/>
      <c r="X35" s="39"/>
    </row>
    <row r="36" spans="1:24" ht="15.75" customHeight="1" x14ac:dyDescent="0.25">
      <c r="A36" s="49">
        <v>35</v>
      </c>
      <c r="B36" s="56" t="s">
        <v>259</v>
      </c>
      <c r="C36" s="61" t="s">
        <v>219</v>
      </c>
      <c r="D36" s="55">
        <v>2</v>
      </c>
      <c r="E36" s="55">
        <v>7</v>
      </c>
      <c r="F36" s="55" t="s">
        <v>591</v>
      </c>
      <c r="G36" s="55" t="s">
        <v>590</v>
      </c>
      <c r="H36" s="78">
        <v>15</v>
      </c>
      <c r="I36" s="62">
        <v>5</v>
      </c>
      <c r="J36" s="44">
        <v>1</v>
      </c>
      <c r="K36" s="44">
        <v>1</v>
      </c>
      <c r="L36" s="72"/>
      <c r="M36" s="72"/>
      <c r="N36" s="72"/>
      <c r="O36" s="72"/>
      <c r="P36" s="72"/>
      <c r="Q36" s="66"/>
      <c r="R36" s="66"/>
      <c r="S36" s="66"/>
      <c r="T36" s="66"/>
      <c r="U36" s="35" t="s">
        <v>239</v>
      </c>
      <c r="V36" s="39"/>
      <c r="W36" s="39"/>
      <c r="X36" s="39"/>
    </row>
    <row r="37" spans="1:24" ht="14.25" customHeight="1" x14ac:dyDescent="0.25">
      <c r="A37" s="49">
        <v>36</v>
      </c>
      <c r="B37" s="56" t="s">
        <v>260</v>
      </c>
      <c r="C37" s="61" t="s">
        <v>219</v>
      </c>
      <c r="D37" s="55">
        <v>2</v>
      </c>
      <c r="E37" s="55">
        <v>11</v>
      </c>
      <c r="F37" s="55" t="s">
        <v>578</v>
      </c>
      <c r="G37" s="55" t="s">
        <v>579</v>
      </c>
      <c r="H37" s="78">
        <v>15.8</v>
      </c>
      <c r="I37" s="62">
        <v>3.44</v>
      </c>
      <c r="J37" s="44">
        <v>1</v>
      </c>
      <c r="K37" s="44">
        <v>1</v>
      </c>
      <c r="L37" s="72"/>
      <c r="M37" s="72"/>
      <c r="N37" s="72"/>
      <c r="O37" s="72"/>
      <c r="P37" s="72"/>
      <c r="Q37" s="66"/>
      <c r="R37" s="66"/>
      <c r="S37" s="66"/>
      <c r="T37" s="66"/>
      <c r="U37" s="35" t="s">
        <v>239</v>
      </c>
      <c r="V37" s="39"/>
      <c r="W37" s="39"/>
      <c r="X37" s="39"/>
    </row>
    <row r="38" spans="1:24" ht="14.25" customHeight="1" x14ac:dyDescent="0.25">
      <c r="A38" s="104">
        <v>37</v>
      </c>
      <c r="B38" s="105" t="s">
        <v>269</v>
      </c>
      <c r="C38" s="123" t="s">
        <v>219</v>
      </c>
      <c r="D38" s="114"/>
      <c r="E38" s="114"/>
      <c r="F38" s="114"/>
      <c r="G38" s="114"/>
      <c r="H38" s="108"/>
      <c r="I38" s="109"/>
      <c r="J38" s="110"/>
      <c r="K38" s="110"/>
      <c r="L38" s="104"/>
      <c r="M38" s="104"/>
      <c r="N38" s="104"/>
      <c r="O38" s="104"/>
      <c r="P38" s="104"/>
      <c r="Q38" s="112"/>
      <c r="R38" s="112"/>
      <c r="S38" s="124"/>
      <c r="T38" s="112"/>
      <c r="U38" s="35" t="s">
        <v>239</v>
      </c>
      <c r="V38" s="39"/>
      <c r="W38" s="39"/>
      <c r="X38" s="39"/>
    </row>
    <row r="39" spans="1:24" ht="14.25" customHeight="1" x14ac:dyDescent="0.25">
      <c r="A39" s="49">
        <v>38</v>
      </c>
      <c r="B39" s="48" t="s">
        <v>319</v>
      </c>
      <c r="C39" s="47" t="s">
        <v>219</v>
      </c>
      <c r="D39" s="54">
        <v>1</v>
      </c>
      <c r="E39" s="54">
        <v>5</v>
      </c>
      <c r="F39" s="54" t="s">
        <v>481</v>
      </c>
      <c r="G39" s="54" t="s">
        <v>477</v>
      </c>
      <c r="H39" s="78">
        <v>16</v>
      </c>
      <c r="I39" s="62">
        <v>5</v>
      </c>
      <c r="J39" s="44"/>
      <c r="K39" s="44"/>
      <c r="L39" s="49"/>
      <c r="M39" s="49"/>
      <c r="N39" s="49"/>
      <c r="O39" s="49"/>
      <c r="P39" s="49"/>
      <c r="Q39" s="66"/>
      <c r="R39" s="66"/>
      <c r="S39" s="66"/>
      <c r="T39" s="66"/>
      <c r="U39" s="35" t="s">
        <v>239</v>
      </c>
      <c r="V39" s="39"/>
      <c r="W39" s="39"/>
      <c r="X39" s="39"/>
    </row>
    <row r="40" spans="1:24" ht="14.25" customHeight="1" x14ac:dyDescent="0.25">
      <c r="A40" s="49">
        <v>39</v>
      </c>
      <c r="B40" s="48" t="s">
        <v>320</v>
      </c>
      <c r="C40" s="47" t="s">
        <v>219</v>
      </c>
      <c r="D40" s="54">
        <v>1</v>
      </c>
      <c r="E40" s="54">
        <v>5</v>
      </c>
      <c r="F40" s="54" t="s">
        <v>699</v>
      </c>
      <c r="G40" s="54" t="s">
        <v>564</v>
      </c>
      <c r="H40" s="78">
        <v>16</v>
      </c>
      <c r="I40" s="62">
        <v>4.54</v>
      </c>
      <c r="J40" s="44"/>
      <c r="K40" s="44"/>
      <c r="L40" s="49"/>
      <c r="M40" s="49"/>
      <c r="N40" s="49"/>
      <c r="O40" s="49"/>
      <c r="P40" s="49"/>
      <c r="Q40" s="66"/>
      <c r="R40" s="66"/>
      <c r="S40" s="66"/>
      <c r="T40" s="66"/>
      <c r="U40" s="35" t="s">
        <v>239</v>
      </c>
      <c r="V40" s="39"/>
      <c r="W40" s="39"/>
      <c r="X40" s="39"/>
    </row>
    <row r="41" spans="1:24" ht="14.25" customHeight="1" x14ac:dyDescent="0.25">
      <c r="A41" s="104">
        <v>40</v>
      </c>
      <c r="B41" s="115" t="s">
        <v>321</v>
      </c>
      <c r="C41" s="116" t="s">
        <v>219</v>
      </c>
      <c r="D41" s="118"/>
      <c r="E41" s="118"/>
      <c r="F41" s="118"/>
      <c r="G41" s="118"/>
      <c r="H41" s="117"/>
      <c r="I41" s="125"/>
      <c r="J41" s="120"/>
      <c r="K41" s="120"/>
      <c r="L41" s="117"/>
      <c r="M41" s="117"/>
      <c r="N41" s="117"/>
      <c r="O41" s="117"/>
      <c r="P41" s="117"/>
      <c r="Q41" s="122"/>
      <c r="R41" s="122"/>
      <c r="S41" s="122"/>
      <c r="T41" s="122"/>
      <c r="U41" s="35" t="s">
        <v>239</v>
      </c>
      <c r="V41" s="39"/>
      <c r="W41" s="39"/>
      <c r="X41" s="39"/>
    </row>
    <row r="42" spans="1:24" ht="14.25" customHeight="1" x14ac:dyDescent="0.25">
      <c r="A42" s="49">
        <v>41</v>
      </c>
      <c r="B42" s="48" t="s">
        <v>379</v>
      </c>
      <c r="C42" s="47" t="s">
        <v>219</v>
      </c>
      <c r="D42" s="54">
        <v>1</v>
      </c>
      <c r="E42" s="54">
        <v>3</v>
      </c>
      <c r="F42" s="54" t="s">
        <v>471</v>
      </c>
      <c r="G42" s="54" t="s">
        <v>364</v>
      </c>
      <c r="H42" s="81">
        <v>16</v>
      </c>
      <c r="I42" s="63">
        <v>3.95</v>
      </c>
      <c r="J42" s="46">
        <v>3</v>
      </c>
      <c r="K42" s="46">
        <v>1</v>
      </c>
      <c r="L42" s="73"/>
      <c r="M42" s="73"/>
      <c r="N42" s="73"/>
      <c r="O42" s="73"/>
      <c r="P42" s="73"/>
      <c r="Q42" s="67"/>
      <c r="R42" s="67"/>
      <c r="S42" s="67"/>
      <c r="T42" s="67"/>
      <c r="U42" s="35" t="s">
        <v>239</v>
      </c>
      <c r="V42" s="39"/>
      <c r="W42" s="39"/>
      <c r="X42" s="39"/>
    </row>
    <row r="43" spans="1:24" ht="14.25" customHeight="1" x14ac:dyDescent="0.25">
      <c r="A43" s="49">
        <v>42</v>
      </c>
      <c r="B43" s="48" t="s">
        <v>709</v>
      </c>
      <c r="C43" s="47" t="s">
        <v>219</v>
      </c>
      <c r="D43" s="54">
        <v>1</v>
      </c>
      <c r="E43" s="54">
        <v>4</v>
      </c>
      <c r="F43" s="54" t="s">
        <v>710</v>
      </c>
      <c r="G43" s="54" t="s">
        <v>711</v>
      </c>
      <c r="H43" s="81">
        <v>16</v>
      </c>
      <c r="I43" s="63">
        <v>3.84</v>
      </c>
      <c r="J43" s="46"/>
      <c r="K43" s="46"/>
      <c r="L43" s="73"/>
      <c r="M43" s="73"/>
      <c r="N43" s="73"/>
      <c r="O43" s="73"/>
      <c r="P43" s="73"/>
      <c r="Q43" s="67"/>
      <c r="R43" s="67"/>
      <c r="S43" s="67"/>
      <c r="T43" s="67"/>
      <c r="U43" s="35"/>
      <c r="V43" s="39"/>
      <c r="W43" s="39"/>
      <c r="X43" s="39"/>
    </row>
    <row r="44" spans="1:24" ht="14.25" customHeight="1" x14ac:dyDescent="0.25">
      <c r="A44" s="49">
        <v>43</v>
      </c>
      <c r="B44" s="48" t="s">
        <v>721</v>
      </c>
      <c r="C44" s="47" t="s">
        <v>219</v>
      </c>
      <c r="D44" s="54">
        <v>2</v>
      </c>
      <c r="E44" s="54">
        <v>2</v>
      </c>
      <c r="F44" s="54" t="s">
        <v>722</v>
      </c>
      <c r="G44" s="54" t="s">
        <v>467</v>
      </c>
      <c r="H44" s="81">
        <v>16</v>
      </c>
      <c r="I44" s="63">
        <v>3.99</v>
      </c>
      <c r="J44" s="46"/>
      <c r="K44" s="46"/>
      <c r="L44" s="73"/>
      <c r="M44" s="73"/>
      <c r="N44" s="73"/>
      <c r="O44" s="73"/>
      <c r="P44" s="73"/>
      <c r="Q44" s="67"/>
      <c r="R44" s="67"/>
      <c r="S44" s="67"/>
      <c r="T44" s="67"/>
      <c r="U44" s="35"/>
      <c r="V44" s="39"/>
      <c r="W44" s="39"/>
      <c r="X44" s="39"/>
    </row>
    <row r="45" spans="1:24" ht="14.25" customHeight="1" x14ac:dyDescent="0.25">
      <c r="A45" s="49">
        <v>44</v>
      </c>
      <c r="B45" s="48" t="s">
        <v>732</v>
      </c>
      <c r="C45" s="47" t="s">
        <v>219</v>
      </c>
      <c r="D45" s="54">
        <v>2</v>
      </c>
      <c r="E45" s="54">
        <v>2</v>
      </c>
      <c r="F45" s="54" t="s">
        <v>733</v>
      </c>
      <c r="G45" s="54" t="s">
        <v>365</v>
      </c>
      <c r="H45" s="81">
        <v>15</v>
      </c>
      <c r="I45" s="63">
        <v>4.88</v>
      </c>
      <c r="J45" s="46"/>
      <c r="K45" s="46"/>
      <c r="L45" s="73"/>
      <c r="M45" s="73"/>
      <c r="N45" s="73"/>
      <c r="O45" s="73"/>
      <c r="P45" s="73"/>
      <c r="Q45" s="67"/>
      <c r="R45" s="67"/>
      <c r="S45" s="67"/>
      <c r="T45" s="67"/>
      <c r="U45" s="35"/>
      <c r="V45" s="39"/>
      <c r="W45" s="39"/>
      <c r="X45" s="39"/>
    </row>
    <row r="46" spans="1:24" ht="14.25" customHeight="1" x14ac:dyDescent="0.25">
      <c r="A46" s="49">
        <v>45</v>
      </c>
      <c r="B46" s="48" t="s">
        <v>740</v>
      </c>
      <c r="C46" s="47" t="s">
        <v>219</v>
      </c>
      <c r="D46" s="54">
        <v>2</v>
      </c>
      <c r="E46" s="54">
        <v>5</v>
      </c>
      <c r="F46" s="54" t="s">
        <v>741</v>
      </c>
      <c r="G46" s="54" t="s">
        <v>582</v>
      </c>
      <c r="H46" s="81">
        <v>15.78</v>
      </c>
      <c r="I46" s="63">
        <v>4.26</v>
      </c>
      <c r="J46" s="46"/>
      <c r="K46" s="46"/>
      <c r="L46" s="73"/>
      <c r="M46" s="73"/>
      <c r="N46" s="73"/>
      <c r="O46" s="73"/>
      <c r="P46" s="73"/>
      <c r="Q46" s="67"/>
      <c r="R46" s="67"/>
      <c r="S46" s="67"/>
      <c r="T46" s="67"/>
      <c r="U46" s="35"/>
      <c r="V46" s="39"/>
      <c r="W46" s="39"/>
      <c r="X46" s="39"/>
    </row>
    <row r="47" spans="1:24" ht="14.25" customHeight="1" x14ac:dyDescent="0.25">
      <c r="A47" s="49">
        <v>46</v>
      </c>
      <c r="B47" s="48" t="s">
        <v>742</v>
      </c>
      <c r="C47" s="47" t="s">
        <v>219</v>
      </c>
      <c r="D47" s="54">
        <v>1</v>
      </c>
      <c r="E47" s="54">
        <v>1</v>
      </c>
      <c r="F47" s="54" t="s">
        <v>743</v>
      </c>
      <c r="G47" s="54" t="s">
        <v>614</v>
      </c>
      <c r="H47" s="81">
        <v>16</v>
      </c>
      <c r="I47" s="63">
        <v>3</v>
      </c>
      <c r="J47" s="46"/>
      <c r="K47" s="46"/>
      <c r="L47" s="73"/>
      <c r="M47" s="73"/>
      <c r="N47" s="73"/>
      <c r="O47" s="73"/>
      <c r="P47" s="73"/>
      <c r="Q47" s="67"/>
      <c r="R47" s="67"/>
      <c r="S47" s="67"/>
      <c r="T47" s="67"/>
      <c r="U47" s="35"/>
      <c r="V47" s="39"/>
      <c r="W47" s="39"/>
      <c r="X47" s="39"/>
    </row>
    <row r="48" spans="1:24" ht="14.25" customHeight="1" x14ac:dyDescent="0.25">
      <c r="A48" s="49">
        <v>47</v>
      </c>
      <c r="B48" s="48" t="s">
        <v>744</v>
      </c>
      <c r="C48" s="47" t="s">
        <v>219</v>
      </c>
      <c r="D48" s="54">
        <v>2</v>
      </c>
      <c r="E48" s="54">
        <v>4</v>
      </c>
      <c r="F48" s="54" t="s">
        <v>745</v>
      </c>
      <c r="G48" s="54" t="s">
        <v>625</v>
      </c>
      <c r="H48" s="81">
        <v>16</v>
      </c>
      <c r="I48" s="63">
        <v>4.5</v>
      </c>
      <c r="J48" s="46"/>
      <c r="K48" s="46"/>
      <c r="L48" s="73"/>
      <c r="M48" s="73"/>
      <c r="N48" s="73"/>
      <c r="O48" s="73"/>
      <c r="P48" s="73"/>
      <c r="Q48" s="67"/>
      <c r="R48" s="67"/>
      <c r="S48" s="67"/>
      <c r="T48" s="67"/>
      <c r="U48" s="35"/>
      <c r="V48" s="39"/>
      <c r="W48" s="39"/>
      <c r="X48" s="39"/>
    </row>
    <row r="49" spans="1:24" ht="14.25" customHeight="1" x14ac:dyDescent="0.25">
      <c r="A49" s="49">
        <v>48</v>
      </c>
      <c r="B49" s="48" t="s">
        <v>746</v>
      </c>
      <c r="C49" s="47" t="s">
        <v>219</v>
      </c>
      <c r="D49" s="54">
        <v>1</v>
      </c>
      <c r="E49" s="54">
        <v>5</v>
      </c>
      <c r="F49" s="54" t="s">
        <v>747</v>
      </c>
      <c r="G49" s="54" t="s">
        <v>748</v>
      </c>
      <c r="H49" s="81">
        <v>16</v>
      </c>
      <c r="I49" s="63">
        <v>4.3</v>
      </c>
      <c r="J49" s="46"/>
      <c r="K49" s="46"/>
      <c r="L49" s="73"/>
      <c r="M49" s="73"/>
      <c r="N49" s="73"/>
      <c r="O49" s="73"/>
      <c r="P49" s="73"/>
      <c r="Q49" s="67"/>
      <c r="R49" s="67"/>
      <c r="S49" s="67"/>
      <c r="T49" s="67"/>
      <c r="U49" s="35"/>
      <c r="V49" s="39"/>
      <c r="W49" s="39"/>
      <c r="X49" s="39"/>
    </row>
    <row r="50" spans="1:24" ht="14.25" customHeight="1" x14ac:dyDescent="0.25">
      <c r="A50" s="49">
        <v>49</v>
      </c>
      <c r="B50" s="48" t="s">
        <v>749</v>
      </c>
      <c r="C50" s="47" t="s">
        <v>219</v>
      </c>
      <c r="D50" s="54">
        <v>1</v>
      </c>
      <c r="E50" s="54">
        <v>4</v>
      </c>
      <c r="F50" s="54" t="s">
        <v>750</v>
      </c>
      <c r="G50" s="54" t="s">
        <v>751</v>
      </c>
      <c r="H50" s="81">
        <v>15</v>
      </c>
      <c r="I50" s="63">
        <v>3.57</v>
      </c>
      <c r="J50" s="46"/>
      <c r="K50" s="46"/>
      <c r="L50" s="73"/>
      <c r="M50" s="73"/>
      <c r="N50" s="73"/>
      <c r="O50" s="73"/>
      <c r="P50" s="73"/>
      <c r="Q50" s="67"/>
      <c r="R50" s="67"/>
      <c r="S50" s="67"/>
      <c r="T50" s="67"/>
      <c r="U50" s="35"/>
      <c r="V50" s="39"/>
      <c r="W50" s="39"/>
      <c r="X50" s="39"/>
    </row>
    <row r="51" spans="1:24" ht="14.25" customHeight="1" x14ac:dyDescent="0.25">
      <c r="A51" s="49">
        <v>50</v>
      </c>
      <c r="B51" s="56" t="s">
        <v>390</v>
      </c>
      <c r="C51" s="61" t="s">
        <v>4</v>
      </c>
      <c r="D51" s="49">
        <v>10</v>
      </c>
      <c r="E51" s="49">
        <v>15</v>
      </c>
      <c r="F51" s="49" t="s">
        <v>630</v>
      </c>
      <c r="G51" s="49" t="s">
        <v>631</v>
      </c>
      <c r="H51" s="81">
        <v>16</v>
      </c>
      <c r="I51" s="63">
        <v>4.0999999999999996</v>
      </c>
      <c r="J51" s="46">
        <v>1</v>
      </c>
      <c r="K51" s="46">
        <v>2</v>
      </c>
      <c r="L51" s="73"/>
      <c r="M51" s="73"/>
      <c r="N51" s="73"/>
      <c r="O51" s="73"/>
      <c r="P51" s="73"/>
      <c r="Q51" s="67"/>
      <c r="R51" s="67"/>
      <c r="S51" s="67"/>
      <c r="T51" s="67"/>
      <c r="U51" s="35" t="s">
        <v>239</v>
      </c>
      <c r="V51" s="39"/>
      <c r="W51" s="39"/>
      <c r="X51" s="39"/>
    </row>
    <row r="52" spans="1:24" ht="14.25" customHeight="1" x14ac:dyDescent="0.25">
      <c r="A52" s="49">
        <v>51</v>
      </c>
      <c r="B52" s="56" t="s">
        <v>110</v>
      </c>
      <c r="C52" s="61" t="s">
        <v>4</v>
      </c>
      <c r="D52" s="53">
        <v>4</v>
      </c>
      <c r="E52" s="53">
        <v>7</v>
      </c>
      <c r="F52" s="53" t="s">
        <v>486</v>
      </c>
      <c r="G52" s="53" t="s">
        <v>366</v>
      </c>
      <c r="H52" s="81">
        <v>15.2</v>
      </c>
      <c r="I52" s="63">
        <v>1.39</v>
      </c>
      <c r="J52" s="46">
        <v>1</v>
      </c>
      <c r="K52" s="46">
        <v>0</v>
      </c>
      <c r="L52" s="73"/>
      <c r="M52" s="73"/>
      <c r="N52" s="73"/>
      <c r="O52" s="73"/>
      <c r="P52" s="73"/>
      <c r="Q52" s="67"/>
      <c r="R52" s="67"/>
      <c r="S52" s="67"/>
      <c r="T52" s="67"/>
      <c r="U52" s="35" t="s">
        <v>239</v>
      </c>
      <c r="V52" s="39"/>
      <c r="W52" s="39"/>
      <c r="X52" s="39"/>
    </row>
    <row r="53" spans="1:24" ht="15.75" customHeight="1" x14ac:dyDescent="0.25">
      <c r="A53" s="49">
        <v>52</v>
      </c>
      <c r="B53" s="56" t="s">
        <v>113</v>
      </c>
      <c r="C53" s="61" t="s">
        <v>4</v>
      </c>
      <c r="D53" s="53">
        <v>4</v>
      </c>
      <c r="E53" s="53">
        <v>10</v>
      </c>
      <c r="F53" s="53" t="s">
        <v>546</v>
      </c>
      <c r="G53" s="53" t="s">
        <v>543</v>
      </c>
      <c r="H53" s="78">
        <v>16</v>
      </c>
      <c r="I53" s="62">
        <v>4.3899999999999997</v>
      </c>
      <c r="J53" s="44">
        <v>1</v>
      </c>
      <c r="K53" s="44">
        <v>3</v>
      </c>
      <c r="L53" s="71"/>
      <c r="M53" s="71"/>
      <c r="N53" s="71"/>
      <c r="O53" s="71"/>
      <c r="P53" s="71"/>
      <c r="Q53" s="66"/>
      <c r="R53" s="66"/>
      <c r="S53" s="66"/>
      <c r="T53" s="66"/>
      <c r="U53" s="35" t="s">
        <v>239</v>
      </c>
      <c r="V53" s="39"/>
      <c r="W53" s="39"/>
      <c r="X53" s="39"/>
    </row>
    <row r="54" spans="1:24" ht="15.75" customHeight="1" x14ac:dyDescent="0.25">
      <c r="A54" s="49">
        <v>53</v>
      </c>
      <c r="B54" s="56" t="s">
        <v>127</v>
      </c>
      <c r="C54" s="61" t="s">
        <v>4</v>
      </c>
      <c r="D54" s="53">
        <v>5</v>
      </c>
      <c r="E54" s="53">
        <v>13</v>
      </c>
      <c r="F54" s="53" t="s">
        <v>496</v>
      </c>
      <c r="G54" s="53" t="s">
        <v>494</v>
      </c>
      <c r="H54" s="78">
        <v>16</v>
      </c>
      <c r="I54" s="62">
        <v>3.74</v>
      </c>
      <c r="J54" s="44">
        <v>1</v>
      </c>
      <c r="K54" s="44">
        <v>1</v>
      </c>
      <c r="L54" s="72"/>
      <c r="M54" s="72"/>
      <c r="N54" s="72"/>
      <c r="O54" s="72"/>
      <c r="P54" s="72"/>
      <c r="Q54" s="66"/>
      <c r="R54" s="66"/>
      <c r="S54" s="66"/>
      <c r="T54" s="66"/>
      <c r="U54" s="35" t="s">
        <v>239</v>
      </c>
      <c r="V54" s="39"/>
      <c r="W54" s="39"/>
      <c r="X54" s="39"/>
    </row>
    <row r="55" spans="1:24" ht="15.75" customHeight="1" x14ac:dyDescent="0.25">
      <c r="A55" s="49">
        <v>54</v>
      </c>
      <c r="B55" s="56" t="s">
        <v>116</v>
      </c>
      <c r="C55" s="61" t="s">
        <v>4</v>
      </c>
      <c r="D55" s="53">
        <v>2</v>
      </c>
      <c r="E55" s="53">
        <v>5</v>
      </c>
      <c r="F55" s="53" t="s">
        <v>696</v>
      </c>
      <c r="G55" s="53" t="s">
        <v>364</v>
      </c>
      <c r="H55" s="78">
        <v>15.66</v>
      </c>
      <c r="I55" s="92">
        <v>4.71</v>
      </c>
      <c r="J55" s="44">
        <v>1</v>
      </c>
      <c r="K55" s="44">
        <v>1</v>
      </c>
      <c r="L55" s="75"/>
      <c r="M55" s="75"/>
      <c r="N55" s="75"/>
      <c r="O55" s="75"/>
      <c r="P55" s="75"/>
      <c r="Q55" s="66"/>
      <c r="R55" s="66"/>
      <c r="S55" s="66"/>
      <c r="T55" s="66"/>
      <c r="U55" s="35" t="s">
        <v>239</v>
      </c>
      <c r="V55" s="39"/>
      <c r="W55" s="39"/>
      <c r="X55" s="39"/>
    </row>
    <row r="56" spans="1:24" ht="15.75" customHeight="1" x14ac:dyDescent="0.25">
      <c r="A56" s="49">
        <v>55</v>
      </c>
      <c r="B56" s="56" t="s">
        <v>118</v>
      </c>
      <c r="C56" s="61" t="s">
        <v>4</v>
      </c>
      <c r="D56" s="53">
        <v>7</v>
      </c>
      <c r="E56" s="53">
        <v>12</v>
      </c>
      <c r="F56" s="53" t="s">
        <v>520</v>
      </c>
      <c r="G56" s="53" t="s">
        <v>519</v>
      </c>
      <c r="H56" s="78">
        <v>9</v>
      </c>
      <c r="I56" s="92">
        <v>1.54</v>
      </c>
      <c r="J56" s="44">
        <v>1</v>
      </c>
      <c r="K56" s="44">
        <v>1</v>
      </c>
      <c r="L56" s="72"/>
      <c r="M56" s="72"/>
      <c r="N56" s="72"/>
      <c r="O56" s="72"/>
      <c r="P56" s="72"/>
      <c r="Q56" s="66"/>
      <c r="R56" s="66"/>
      <c r="S56" s="66"/>
      <c r="T56" s="66"/>
      <c r="U56" s="35" t="s">
        <v>239</v>
      </c>
      <c r="V56" s="39"/>
      <c r="W56" s="39"/>
      <c r="X56" s="39"/>
    </row>
    <row r="57" spans="1:24" ht="15.75" customHeight="1" x14ac:dyDescent="0.25">
      <c r="A57" s="49">
        <v>56</v>
      </c>
      <c r="B57" s="56" t="s">
        <v>119</v>
      </c>
      <c r="C57" s="61" t="s">
        <v>4</v>
      </c>
      <c r="D57" s="49">
        <v>6</v>
      </c>
      <c r="E57" s="49">
        <v>12</v>
      </c>
      <c r="F57" s="49" t="s">
        <v>436</v>
      </c>
      <c r="G57" s="49" t="s">
        <v>349</v>
      </c>
      <c r="H57" s="78">
        <v>16</v>
      </c>
      <c r="I57" s="92">
        <v>2.2400000000000002</v>
      </c>
      <c r="J57" s="44">
        <v>2</v>
      </c>
      <c r="K57" s="44">
        <v>1</v>
      </c>
      <c r="L57" s="72"/>
      <c r="M57" s="72"/>
      <c r="N57" s="72"/>
      <c r="O57" s="72"/>
      <c r="P57" s="72"/>
      <c r="Q57" s="66"/>
      <c r="R57" s="66"/>
      <c r="S57" s="66"/>
      <c r="T57" s="66"/>
      <c r="U57" s="35" t="s">
        <v>239</v>
      </c>
      <c r="V57" s="39"/>
      <c r="W57" s="39"/>
      <c r="X57" s="39"/>
    </row>
    <row r="58" spans="1:24" ht="15.75" customHeight="1" x14ac:dyDescent="0.25">
      <c r="A58" s="49">
        <v>57</v>
      </c>
      <c r="B58" s="56" t="s">
        <v>121</v>
      </c>
      <c r="C58" s="61" t="s">
        <v>4</v>
      </c>
      <c r="D58" s="53">
        <v>2</v>
      </c>
      <c r="E58" s="53">
        <v>3</v>
      </c>
      <c r="F58" s="53" t="s">
        <v>373</v>
      </c>
      <c r="G58" s="53" t="s">
        <v>352</v>
      </c>
      <c r="H58" s="78">
        <v>14</v>
      </c>
      <c r="I58" s="92">
        <v>4.13</v>
      </c>
      <c r="J58" s="44">
        <v>2</v>
      </c>
      <c r="K58" s="44">
        <v>3</v>
      </c>
      <c r="L58" s="72"/>
      <c r="M58" s="72"/>
      <c r="N58" s="72"/>
      <c r="O58" s="72"/>
      <c r="P58" s="72"/>
      <c r="Q58" s="66"/>
      <c r="R58" s="66"/>
      <c r="S58" s="66"/>
      <c r="T58" s="66"/>
      <c r="U58" s="35" t="s">
        <v>239</v>
      </c>
      <c r="V58" s="39"/>
      <c r="W58" s="39"/>
      <c r="X58" s="39"/>
    </row>
    <row r="59" spans="1:24" ht="15.75" customHeight="1" x14ac:dyDescent="0.25">
      <c r="A59" s="49">
        <v>58</v>
      </c>
      <c r="B59" s="56" t="s">
        <v>281</v>
      </c>
      <c r="C59" s="61" t="s">
        <v>4</v>
      </c>
      <c r="D59" s="53">
        <v>2</v>
      </c>
      <c r="E59" s="53">
        <v>3</v>
      </c>
      <c r="F59" s="53" t="s">
        <v>633</v>
      </c>
      <c r="G59" s="53" t="s">
        <v>631</v>
      </c>
      <c r="H59" s="78">
        <v>16</v>
      </c>
      <c r="I59" s="92">
        <v>4.79</v>
      </c>
      <c r="J59" s="44"/>
      <c r="K59" s="44"/>
      <c r="L59" s="71"/>
      <c r="M59" s="71"/>
      <c r="N59" s="71"/>
      <c r="O59" s="71"/>
      <c r="P59" s="71"/>
      <c r="Q59" s="66"/>
      <c r="R59" s="66"/>
      <c r="S59" s="66"/>
      <c r="T59" s="66"/>
      <c r="U59" s="35" t="s">
        <v>239</v>
      </c>
      <c r="V59" s="39"/>
      <c r="W59" s="39"/>
      <c r="X59" s="39"/>
    </row>
    <row r="60" spans="1:24" ht="15.75" customHeight="1" x14ac:dyDescent="0.25">
      <c r="A60" s="49">
        <v>59</v>
      </c>
      <c r="B60" s="56" t="s">
        <v>122</v>
      </c>
      <c r="C60" s="61" t="s">
        <v>4</v>
      </c>
      <c r="D60" s="53">
        <v>5</v>
      </c>
      <c r="E60" s="53">
        <v>10</v>
      </c>
      <c r="F60" s="53" t="s">
        <v>522</v>
      </c>
      <c r="G60" s="53" t="s">
        <v>523</v>
      </c>
      <c r="H60" s="78">
        <v>16</v>
      </c>
      <c r="I60" s="92">
        <v>3.75</v>
      </c>
      <c r="J60" s="44">
        <v>1</v>
      </c>
      <c r="K60" s="44">
        <v>1</v>
      </c>
      <c r="L60" s="72"/>
      <c r="M60" s="72"/>
      <c r="N60" s="72"/>
      <c r="O60" s="72"/>
      <c r="P60" s="72"/>
      <c r="Q60" s="66"/>
      <c r="R60" s="66"/>
      <c r="S60" s="66"/>
      <c r="T60" s="66"/>
      <c r="U60" s="35" t="s">
        <v>239</v>
      </c>
      <c r="V60" s="39"/>
      <c r="W60" s="39"/>
      <c r="X60" s="39"/>
    </row>
    <row r="61" spans="1:24" ht="15.75" customHeight="1" x14ac:dyDescent="0.25">
      <c r="A61" s="104">
        <v>60</v>
      </c>
      <c r="B61" s="105" t="s">
        <v>115</v>
      </c>
      <c r="C61" s="106" t="s">
        <v>4</v>
      </c>
      <c r="D61" s="104"/>
      <c r="E61" s="104"/>
      <c r="F61" s="104"/>
      <c r="G61" s="104"/>
      <c r="H61" s="108"/>
      <c r="I61" s="126"/>
      <c r="J61" s="110"/>
      <c r="K61" s="110"/>
      <c r="L61" s="105"/>
      <c r="M61" s="105"/>
      <c r="N61" s="105"/>
      <c r="O61" s="105"/>
      <c r="P61" s="105"/>
      <c r="Q61" s="112"/>
      <c r="R61" s="112"/>
      <c r="S61" s="112"/>
      <c r="T61" s="112"/>
      <c r="U61" s="35" t="s">
        <v>239</v>
      </c>
      <c r="V61" s="39"/>
      <c r="W61" s="39"/>
      <c r="X61" s="39"/>
    </row>
    <row r="62" spans="1:24" ht="15.75" customHeight="1" x14ac:dyDescent="0.25">
      <c r="A62" s="49">
        <v>61</v>
      </c>
      <c r="B62" s="56" t="s">
        <v>111</v>
      </c>
      <c r="C62" s="61" t="s">
        <v>4</v>
      </c>
      <c r="D62" s="49">
        <v>5</v>
      </c>
      <c r="E62" s="49">
        <v>12</v>
      </c>
      <c r="F62" s="49" t="s">
        <v>464</v>
      </c>
      <c r="G62" s="49" t="s">
        <v>361</v>
      </c>
      <c r="H62" s="78">
        <v>16</v>
      </c>
      <c r="I62" s="92">
        <v>3.61</v>
      </c>
      <c r="J62" s="44">
        <v>1</v>
      </c>
      <c r="K62" s="44">
        <v>2</v>
      </c>
      <c r="L62" s="56"/>
      <c r="M62" s="56"/>
      <c r="N62" s="56"/>
      <c r="O62" s="56"/>
      <c r="P62" s="56"/>
      <c r="Q62" s="66"/>
      <c r="R62" s="66"/>
      <c r="S62" s="66"/>
      <c r="T62" s="66"/>
      <c r="U62" s="35" t="s">
        <v>239</v>
      </c>
      <c r="V62" s="39"/>
      <c r="W62" s="39"/>
      <c r="X62" s="39"/>
    </row>
    <row r="63" spans="1:24" ht="15.75" customHeight="1" x14ac:dyDescent="0.25">
      <c r="A63" s="49">
        <v>62</v>
      </c>
      <c r="B63" s="56" t="s">
        <v>112</v>
      </c>
      <c r="C63" s="61" t="s">
        <v>4</v>
      </c>
      <c r="D63" s="53">
        <v>3</v>
      </c>
      <c r="E63" s="53">
        <v>5</v>
      </c>
      <c r="F63" s="53" t="s">
        <v>574</v>
      </c>
      <c r="G63" s="53" t="s">
        <v>575</v>
      </c>
      <c r="H63" s="84"/>
      <c r="I63" s="92">
        <v>3.33</v>
      </c>
      <c r="J63" s="44"/>
      <c r="K63" s="44"/>
      <c r="L63" s="56"/>
      <c r="M63" s="56"/>
      <c r="N63" s="56"/>
      <c r="O63" s="56"/>
      <c r="P63" s="56"/>
      <c r="Q63" s="66"/>
      <c r="R63" s="66"/>
      <c r="S63" s="66"/>
      <c r="T63" s="66"/>
      <c r="U63" s="35" t="s">
        <v>239</v>
      </c>
      <c r="V63" s="39"/>
      <c r="W63" s="39"/>
      <c r="X63" s="39"/>
    </row>
    <row r="64" spans="1:24" ht="15.75" customHeight="1" x14ac:dyDescent="0.25">
      <c r="A64" s="104">
        <v>63</v>
      </c>
      <c r="B64" s="105" t="s">
        <v>114</v>
      </c>
      <c r="C64" s="106" t="s">
        <v>4</v>
      </c>
      <c r="D64" s="107"/>
      <c r="E64" s="107"/>
      <c r="F64" s="107"/>
      <c r="G64" s="107"/>
      <c r="H64" s="108"/>
      <c r="I64" s="126"/>
      <c r="J64" s="110"/>
      <c r="K64" s="110"/>
      <c r="L64" s="127"/>
      <c r="M64" s="127"/>
      <c r="N64" s="127"/>
      <c r="O64" s="127"/>
      <c r="P64" s="127"/>
      <c r="Q64" s="112"/>
      <c r="R64" s="112"/>
      <c r="S64" s="112"/>
      <c r="T64" s="112"/>
      <c r="U64" s="35" t="s">
        <v>239</v>
      </c>
      <c r="V64" s="39"/>
      <c r="W64" s="39"/>
      <c r="X64" s="39"/>
    </row>
    <row r="65" spans="1:24" ht="15.75" customHeight="1" x14ac:dyDescent="0.25">
      <c r="A65" s="49">
        <v>64</v>
      </c>
      <c r="B65" s="56" t="s">
        <v>117</v>
      </c>
      <c r="C65" s="61" t="s">
        <v>4</v>
      </c>
      <c r="D65" s="53">
        <v>5</v>
      </c>
      <c r="E65" s="53">
        <v>10</v>
      </c>
      <c r="F65" s="53" t="s">
        <v>478</v>
      </c>
      <c r="G65" s="53" t="s">
        <v>477</v>
      </c>
      <c r="H65" s="78">
        <v>16</v>
      </c>
      <c r="I65" s="92">
        <v>4.16</v>
      </c>
      <c r="J65" s="44">
        <v>1</v>
      </c>
      <c r="K65" s="44">
        <v>1</v>
      </c>
      <c r="L65" s="56"/>
      <c r="M65" s="56"/>
      <c r="N65" s="56"/>
      <c r="O65" s="56"/>
      <c r="P65" s="56"/>
      <c r="Q65" s="66"/>
      <c r="R65" s="66"/>
      <c r="S65" s="66"/>
      <c r="T65" s="66"/>
      <c r="U65" s="35" t="s">
        <v>239</v>
      </c>
      <c r="V65" s="39"/>
      <c r="W65" s="39"/>
      <c r="X65" s="39"/>
    </row>
    <row r="66" spans="1:24" ht="15.75" customHeight="1" x14ac:dyDescent="0.25">
      <c r="A66" s="49">
        <v>65</v>
      </c>
      <c r="B66" s="56" t="s">
        <v>120</v>
      </c>
      <c r="C66" s="61" t="s">
        <v>4</v>
      </c>
      <c r="D66" s="53">
        <v>2</v>
      </c>
      <c r="E66" s="53">
        <v>4</v>
      </c>
      <c r="F66" s="53" t="s">
        <v>634</v>
      </c>
      <c r="G66" s="53" t="s">
        <v>635</v>
      </c>
      <c r="H66" s="78">
        <v>2</v>
      </c>
      <c r="I66" s="92">
        <v>0.02</v>
      </c>
      <c r="J66" s="44">
        <v>2</v>
      </c>
      <c r="K66" s="44">
        <v>2</v>
      </c>
      <c r="L66" s="56"/>
      <c r="M66" s="56"/>
      <c r="N66" s="56"/>
      <c r="O66" s="56"/>
      <c r="P66" s="56"/>
      <c r="Q66" s="66"/>
      <c r="R66" s="66"/>
      <c r="S66" s="66"/>
      <c r="T66" s="66"/>
      <c r="U66" s="35" t="s">
        <v>239</v>
      </c>
      <c r="V66" s="39"/>
      <c r="W66" s="39"/>
      <c r="X66" s="39"/>
    </row>
    <row r="67" spans="1:24" ht="15.75" customHeight="1" x14ac:dyDescent="0.25">
      <c r="A67" s="49">
        <v>66</v>
      </c>
      <c r="B67" s="56" t="s">
        <v>267</v>
      </c>
      <c r="C67" s="61" t="s">
        <v>4</v>
      </c>
      <c r="D67" s="55">
        <v>1</v>
      </c>
      <c r="E67" s="55">
        <v>1</v>
      </c>
      <c r="F67" s="55" t="s">
        <v>443</v>
      </c>
      <c r="G67" s="55" t="s">
        <v>350</v>
      </c>
      <c r="H67" s="78">
        <v>0</v>
      </c>
      <c r="I67" s="92">
        <v>0</v>
      </c>
      <c r="J67" s="44"/>
      <c r="K67" s="44"/>
      <c r="L67" s="69"/>
      <c r="M67" s="69"/>
      <c r="N67" s="69"/>
      <c r="O67" s="69"/>
      <c r="P67" s="69"/>
      <c r="Q67" s="66"/>
      <c r="R67" s="66"/>
      <c r="S67" s="66"/>
      <c r="T67" s="66"/>
      <c r="U67" s="35" t="s">
        <v>239</v>
      </c>
      <c r="V67" s="39"/>
      <c r="W67" s="39"/>
      <c r="X67" s="39"/>
    </row>
    <row r="68" spans="1:24" ht="15.75" customHeight="1" x14ac:dyDescent="0.25">
      <c r="A68" s="49">
        <v>67</v>
      </c>
      <c r="B68" s="48" t="s">
        <v>322</v>
      </c>
      <c r="C68" s="47" t="s">
        <v>4</v>
      </c>
      <c r="D68" s="54">
        <v>1</v>
      </c>
      <c r="E68" s="54">
        <v>1</v>
      </c>
      <c r="F68" s="93" t="s">
        <v>451</v>
      </c>
      <c r="G68" s="93" t="s">
        <v>355</v>
      </c>
      <c r="H68" s="78">
        <v>16</v>
      </c>
      <c r="I68" s="62">
        <v>2.74</v>
      </c>
      <c r="J68" s="44"/>
      <c r="K68" s="44"/>
      <c r="L68" s="49"/>
      <c r="M68" s="49"/>
      <c r="N68" s="49"/>
      <c r="O68" s="49"/>
      <c r="P68" s="49"/>
      <c r="Q68" s="94"/>
      <c r="R68" s="94"/>
      <c r="S68" s="94"/>
      <c r="T68" s="94"/>
      <c r="U68" s="35" t="s">
        <v>239</v>
      </c>
      <c r="V68" s="39"/>
      <c r="W68" s="39"/>
      <c r="X68" s="39"/>
    </row>
    <row r="69" spans="1:24" ht="15.75" customHeight="1" x14ac:dyDescent="0.25">
      <c r="A69" s="49">
        <v>68</v>
      </c>
      <c r="B69" s="48" t="s">
        <v>323</v>
      </c>
      <c r="C69" s="47" t="s">
        <v>4</v>
      </c>
      <c r="D69" s="54">
        <v>3</v>
      </c>
      <c r="E69" s="54">
        <v>3</v>
      </c>
      <c r="F69" s="54" t="s">
        <v>452</v>
      </c>
      <c r="G69" s="54" t="s">
        <v>355</v>
      </c>
      <c r="H69" s="78">
        <v>15</v>
      </c>
      <c r="I69" s="92">
        <v>1.31</v>
      </c>
      <c r="J69" s="44"/>
      <c r="K69" s="44"/>
      <c r="L69" s="56"/>
      <c r="M69" s="56"/>
      <c r="N69" s="56"/>
      <c r="O69" s="56"/>
      <c r="P69" s="56"/>
      <c r="Q69" s="66"/>
      <c r="R69" s="66"/>
      <c r="S69" s="66"/>
      <c r="T69" s="66"/>
      <c r="U69" s="35" t="s">
        <v>239</v>
      </c>
      <c r="V69" s="39"/>
      <c r="W69" s="39"/>
      <c r="X69" s="39"/>
    </row>
    <row r="70" spans="1:24" ht="15.75" customHeight="1" x14ac:dyDescent="0.25">
      <c r="A70" s="104">
        <v>69</v>
      </c>
      <c r="B70" s="115" t="s">
        <v>324</v>
      </c>
      <c r="C70" s="116" t="s">
        <v>4</v>
      </c>
      <c r="D70" s="118"/>
      <c r="E70" s="118"/>
      <c r="F70" s="128"/>
      <c r="G70" s="128"/>
      <c r="H70" s="117"/>
      <c r="I70" s="126"/>
      <c r="J70" s="120"/>
      <c r="K70" s="120"/>
      <c r="L70" s="115"/>
      <c r="M70" s="115"/>
      <c r="N70" s="115"/>
      <c r="O70" s="115"/>
      <c r="P70" s="115"/>
      <c r="Q70" s="122"/>
      <c r="R70" s="122"/>
      <c r="S70" s="122"/>
      <c r="T70" s="122"/>
      <c r="U70" s="35" t="s">
        <v>239</v>
      </c>
      <c r="V70" s="39"/>
      <c r="W70" s="39"/>
      <c r="X70" s="39"/>
    </row>
    <row r="71" spans="1:24" ht="15.75" customHeight="1" x14ac:dyDescent="0.25">
      <c r="A71" s="49">
        <v>70</v>
      </c>
      <c r="B71" s="48" t="s">
        <v>325</v>
      </c>
      <c r="C71" s="47" t="s">
        <v>4</v>
      </c>
      <c r="D71" s="54">
        <v>2</v>
      </c>
      <c r="E71" s="54">
        <v>3</v>
      </c>
      <c r="F71" s="54" t="s">
        <v>422</v>
      </c>
      <c r="G71" s="54" t="s">
        <v>423</v>
      </c>
      <c r="H71" s="81">
        <v>14.5</v>
      </c>
      <c r="I71" s="63">
        <v>2.7</v>
      </c>
      <c r="J71" s="46"/>
      <c r="K71" s="46"/>
      <c r="L71" s="48"/>
      <c r="M71" s="48"/>
      <c r="N71" s="48"/>
      <c r="O71" s="48"/>
      <c r="P71" s="48"/>
      <c r="Q71" s="67"/>
      <c r="R71" s="67"/>
      <c r="S71" s="67"/>
      <c r="T71" s="67"/>
      <c r="U71" s="35" t="s">
        <v>239</v>
      </c>
      <c r="V71" s="39"/>
      <c r="W71" s="39"/>
      <c r="X71" s="39"/>
    </row>
    <row r="72" spans="1:24" ht="15.75" customHeight="1" x14ac:dyDescent="0.25">
      <c r="A72" s="49">
        <v>71</v>
      </c>
      <c r="B72" s="56" t="s">
        <v>224</v>
      </c>
      <c r="C72" s="61" t="s">
        <v>5</v>
      </c>
      <c r="D72" s="53">
        <v>3</v>
      </c>
      <c r="E72" s="53">
        <v>6</v>
      </c>
      <c r="F72" s="53" t="s">
        <v>605</v>
      </c>
      <c r="G72" s="53" t="s">
        <v>602</v>
      </c>
      <c r="H72" s="83">
        <v>16</v>
      </c>
      <c r="I72" s="92">
        <v>3.35</v>
      </c>
      <c r="J72" s="46">
        <v>2</v>
      </c>
      <c r="K72" s="46">
        <v>1</v>
      </c>
      <c r="L72" s="48"/>
      <c r="M72" s="48"/>
      <c r="N72" s="48"/>
      <c r="O72" s="48"/>
      <c r="P72" s="48"/>
      <c r="Q72" s="67"/>
      <c r="R72" s="67"/>
      <c r="S72" s="67"/>
      <c r="T72" s="67"/>
      <c r="U72" s="35" t="s">
        <v>239</v>
      </c>
      <c r="V72" s="39"/>
      <c r="W72" s="39"/>
      <c r="X72" s="39"/>
    </row>
    <row r="73" spans="1:24" ht="15.75" customHeight="1" x14ac:dyDescent="0.25">
      <c r="A73" s="49">
        <v>72</v>
      </c>
      <c r="B73" s="56" t="s">
        <v>123</v>
      </c>
      <c r="C73" s="61" t="s">
        <v>5</v>
      </c>
      <c r="D73" s="53">
        <v>3</v>
      </c>
      <c r="E73" s="53">
        <v>9</v>
      </c>
      <c r="F73" s="53" t="s">
        <v>653</v>
      </c>
      <c r="G73" s="53" t="s">
        <v>652</v>
      </c>
      <c r="H73" s="81">
        <v>16</v>
      </c>
      <c r="I73" s="92">
        <v>3.79</v>
      </c>
      <c r="J73" s="46">
        <v>1</v>
      </c>
      <c r="K73" s="46">
        <v>1</v>
      </c>
      <c r="L73" s="48"/>
      <c r="M73" s="48"/>
      <c r="N73" s="48"/>
      <c r="O73" s="48"/>
      <c r="P73" s="48"/>
      <c r="Q73" s="67"/>
      <c r="R73" s="67"/>
      <c r="S73" s="67"/>
      <c r="T73" s="67"/>
      <c r="U73" s="35" t="s">
        <v>239</v>
      </c>
      <c r="V73" s="39"/>
      <c r="W73" s="39"/>
      <c r="X73" s="39"/>
    </row>
    <row r="74" spans="1:24" ht="15.75" customHeight="1" x14ac:dyDescent="0.25">
      <c r="A74" s="49">
        <v>73</v>
      </c>
      <c r="B74" s="56" t="s">
        <v>391</v>
      </c>
      <c r="C74" s="61" t="s">
        <v>5</v>
      </c>
      <c r="D74" s="53">
        <v>4</v>
      </c>
      <c r="E74" s="53">
        <v>10</v>
      </c>
      <c r="F74" s="53" t="s">
        <v>583</v>
      </c>
      <c r="G74" s="53" t="s">
        <v>582</v>
      </c>
      <c r="H74" s="78">
        <v>16</v>
      </c>
      <c r="I74" s="92">
        <v>4.3499999999999996</v>
      </c>
      <c r="J74" s="44"/>
      <c r="K74" s="44"/>
      <c r="L74" s="56"/>
      <c r="M74" s="56"/>
      <c r="N74" s="56"/>
      <c r="O74" s="56"/>
      <c r="P74" s="56"/>
      <c r="Q74" s="66"/>
      <c r="R74" s="66"/>
      <c r="S74" s="66"/>
      <c r="T74" s="66"/>
      <c r="U74" s="35" t="s">
        <v>239</v>
      </c>
      <c r="V74" s="35"/>
      <c r="W74" s="39"/>
      <c r="X74" s="39"/>
    </row>
    <row r="75" spans="1:24" ht="15.75" customHeight="1" x14ac:dyDescent="0.25">
      <c r="A75" s="49">
        <v>74</v>
      </c>
      <c r="B75" s="56" t="s">
        <v>124</v>
      </c>
      <c r="C75" s="61" t="s">
        <v>5</v>
      </c>
      <c r="D75" s="53">
        <v>4</v>
      </c>
      <c r="E75" s="53">
        <v>11</v>
      </c>
      <c r="F75" s="53" t="s">
        <v>491</v>
      </c>
      <c r="G75" s="53" t="s">
        <v>367</v>
      </c>
      <c r="H75" s="78">
        <v>16</v>
      </c>
      <c r="I75" s="92">
        <v>5</v>
      </c>
      <c r="J75" s="44">
        <v>2</v>
      </c>
      <c r="K75" s="44">
        <v>1</v>
      </c>
      <c r="L75" s="69"/>
      <c r="M75" s="69"/>
      <c r="N75" s="69"/>
      <c r="O75" s="69"/>
      <c r="P75" s="69"/>
      <c r="Q75" s="66"/>
      <c r="R75" s="66"/>
      <c r="S75" s="66"/>
      <c r="T75" s="66"/>
      <c r="U75" s="35" t="s">
        <v>239</v>
      </c>
      <c r="V75" s="35"/>
      <c r="W75" s="39"/>
      <c r="X75" s="39"/>
    </row>
    <row r="76" spans="1:24" ht="15.75" customHeight="1" x14ac:dyDescent="0.25">
      <c r="A76" s="49">
        <v>75</v>
      </c>
      <c r="B76" s="56" t="s">
        <v>125</v>
      </c>
      <c r="C76" s="61" t="s">
        <v>5</v>
      </c>
      <c r="D76" s="53">
        <v>2</v>
      </c>
      <c r="E76" s="53">
        <v>5</v>
      </c>
      <c r="F76" s="53" t="s">
        <v>687</v>
      </c>
      <c r="G76" s="53" t="s">
        <v>688</v>
      </c>
      <c r="H76" s="78">
        <v>10.6</v>
      </c>
      <c r="I76" s="92">
        <v>2.85</v>
      </c>
      <c r="J76" s="44"/>
      <c r="K76" s="44"/>
      <c r="L76" s="69"/>
      <c r="M76" s="69"/>
      <c r="N76" s="69"/>
      <c r="O76" s="69"/>
      <c r="P76" s="69"/>
      <c r="Q76" s="66"/>
      <c r="R76" s="66"/>
      <c r="S76" s="66"/>
      <c r="T76" s="66"/>
      <c r="U76" s="35" t="s">
        <v>239</v>
      </c>
      <c r="V76" s="35"/>
      <c r="W76" s="39"/>
      <c r="X76" s="39"/>
    </row>
    <row r="77" spans="1:24" ht="15.75" customHeight="1" x14ac:dyDescent="0.25">
      <c r="A77" s="49">
        <v>76</v>
      </c>
      <c r="B77" s="56" t="s">
        <v>225</v>
      </c>
      <c r="C77" s="61" t="s">
        <v>5</v>
      </c>
      <c r="D77" s="53">
        <v>2</v>
      </c>
      <c r="E77" s="53">
        <v>6</v>
      </c>
      <c r="F77" s="53" t="s">
        <v>601</v>
      </c>
      <c r="G77" s="53" t="s">
        <v>602</v>
      </c>
      <c r="H77" s="78">
        <v>16</v>
      </c>
      <c r="I77" s="92">
        <v>5</v>
      </c>
      <c r="J77" s="44">
        <v>2</v>
      </c>
      <c r="K77" s="44">
        <v>1</v>
      </c>
      <c r="L77" s="56"/>
      <c r="M77" s="56"/>
      <c r="N77" s="56"/>
      <c r="O77" s="56"/>
      <c r="P77" s="56"/>
      <c r="Q77" s="66"/>
      <c r="R77" s="66"/>
      <c r="S77" s="66"/>
      <c r="T77" s="66"/>
      <c r="U77" s="35" t="s">
        <v>239</v>
      </c>
      <c r="V77" s="35"/>
      <c r="W77" s="39"/>
      <c r="X77" s="39"/>
    </row>
    <row r="78" spans="1:24" ht="15.75" customHeight="1" x14ac:dyDescent="0.25">
      <c r="A78" s="49">
        <v>77</v>
      </c>
      <c r="B78" s="56" t="s">
        <v>128</v>
      </c>
      <c r="C78" s="61" t="s">
        <v>5</v>
      </c>
      <c r="D78" s="53">
        <v>1</v>
      </c>
      <c r="E78" s="53">
        <v>6</v>
      </c>
      <c r="F78" s="53" t="s">
        <v>568</v>
      </c>
      <c r="G78" s="53" t="s">
        <v>564</v>
      </c>
      <c r="H78" s="78">
        <v>16</v>
      </c>
      <c r="I78" s="92">
        <v>4.71</v>
      </c>
      <c r="J78" s="44">
        <v>2</v>
      </c>
      <c r="K78" s="44">
        <v>1</v>
      </c>
      <c r="L78" s="69"/>
      <c r="M78" s="69"/>
      <c r="N78" s="69"/>
      <c r="O78" s="69"/>
      <c r="P78" s="69"/>
      <c r="Q78" s="66"/>
      <c r="R78" s="66"/>
      <c r="S78" s="66"/>
      <c r="T78" s="66"/>
      <c r="U78" s="35" t="s">
        <v>239</v>
      </c>
      <c r="V78" s="39"/>
      <c r="W78" s="39"/>
      <c r="X78" s="39"/>
    </row>
    <row r="79" spans="1:24" ht="15.75" customHeight="1" x14ac:dyDescent="0.25">
      <c r="A79" s="49">
        <v>78</v>
      </c>
      <c r="B79" s="56" t="s">
        <v>226</v>
      </c>
      <c r="C79" s="61" t="s">
        <v>5</v>
      </c>
      <c r="D79" s="49">
        <v>2</v>
      </c>
      <c r="E79" s="49">
        <v>5</v>
      </c>
      <c r="F79" s="49" t="s">
        <v>666</v>
      </c>
      <c r="G79" s="49" t="s">
        <v>667</v>
      </c>
      <c r="H79" s="83">
        <v>16</v>
      </c>
      <c r="I79" s="92">
        <v>4.9000000000000004</v>
      </c>
      <c r="J79" s="44">
        <v>27</v>
      </c>
      <c r="K79" s="44">
        <v>5</v>
      </c>
      <c r="L79" s="69"/>
      <c r="M79" s="69"/>
      <c r="N79" s="69"/>
      <c r="O79" s="69"/>
      <c r="P79" s="69"/>
      <c r="Q79" s="66"/>
      <c r="R79" s="66"/>
      <c r="S79" s="66"/>
      <c r="T79" s="66"/>
      <c r="U79" s="35" t="s">
        <v>239</v>
      </c>
      <c r="V79" s="39"/>
      <c r="W79" s="39"/>
      <c r="X79" s="39"/>
    </row>
    <row r="80" spans="1:24" ht="15.75" customHeight="1" x14ac:dyDescent="0.25">
      <c r="A80" s="49">
        <v>79</v>
      </c>
      <c r="B80" s="56" t="s">
        <v>227</v>
      </c>
      <c r="C80" s="61" t="s">
        <v>5</v>
      </c>
      <c r="D80" s="53">
        <v>3</v>
      </c>
      <c r="E80" s="53">
        <v>7</v>
      </c>
      <c r="F80" s="53" t="s">
        <v>424</v>
      </c>
      <c r="G80" s="53" t="s">
        <v>345</v>
      </c>
      <c r="H80" s="78">
        <v>16</v>
      </c>
      <c r="I80" s="92">
        <v>4.8499999999999996</v>
      </c>
      <c r="J80" s="44">
        <v>2</v>
      </c>
      <c r="K80" s="44">
        <v>2</v>
      </c>
      <c r="L80" s="69"/>
      <c r="M80" s="69"/>
      <c r="N80" s="69"/>
      <c r="O80" s="69"/>
      <c r="P80" s="69"/>
      <c r="Q80" s="66"/>
      <c r="R80" s="66"/>
      <c r="S80" s="66"/>
      <c r="T80" s="66"/>
      <c r="U80" s="35" t="s">
        <v>239</v>
      </c>
      <c r="V80" s="39"/>
      <c r="W80" s="39"/>
      <c r="X80" s="39"/>
    </row>
    <row r="81" spans="1:24" x14ac:dyDescent="0.25">
      <c r="A81" s="49">
        <v>80</v>
      </c>
      <c r="B81" s="56" t="s">
        <v>131</v>
      </c>
      <c r="C81" s="61" t="s">
        <v>5</v>
      </c>
      <c r="D81" s="53">
        <v>3</v>
      </c>
      <c r="E81" s="53">
        <v>7</v>
      </c>
      <c r="F81" s="53" t="s">
        <v>472</v>
      </c>
      <c r="G81" s="53" t="s">
        <v>364</v>
      </c>
      <c r="H81" s="78">
        <v>16</v>
      </c>
      <c r="I81" s="92">
        <v>4.8899999999999997</v>
      </c>
      <c r="J81" s="44">
        <v>1</v>
      </c>
      <c r="K81" s="44">
        <v>0</v>
      </c>
      <c r="L81" s="57"/>
      <c r="M81" s="56"/>
      <c r="N81" s="56"/>
      <c r="O81" s="56"/>
      <c r="P81" s="56"/>
      <c r="Q81" s="66"/>
      <c r="R81" s="66"/>
      <c r="S81" s="66"/>
      <c r="T81" s="66"/>
      <c r="U81" s="35" t="s">
        <v>239</v>
      </c>
      <c r="V81" s="39"/>
      <c r="W81" s="39"/>
      <c r="X81" s="39"/>
    </row>
    <row r="82" spans="1:24" ht="15.75" customHeight="1" x14ac:dyDescent="0.25">
      <c r="A82" s="49">
        <v>81</v>
      </c>
      <c r="B82" s="56" t="s">
        <v>132</v>
      </c>
      <c r="C82" s="61" t="s">
        <v>5</v>
      </c>
      <c r="D82" s="53">
        <v>2</v>
      </c>
      <c r="E82" s="53">
        <v>5</v>
      </c>
      <c r="F82" s="53" t="s">
        <v>562</v>
      </c>
      <c r="G82" s="53" t="s">
        <v>558</v>
      </c>
      <c r="H82" s="78">
        <v>16</v>
      </c>
      <c r="I82" s="92">
        <v>4.3</v>
      </c>
      <c r="J82" s="44">
        <v>3</v>
      </c>
      <c r="K82" s="44">
        <v>1</v>
      </c>
      <c r="L82" s="69"/>
      <c r="M82" s="69"/>
      <c r="N82" s="69"/>
      <c r="O82" s="69"/>
      <c r="P82" s="69"/>
      <c r="Q82" s="66"/>
      <c r="R82" s="66"/>
      <c r="S82" s="66"/>
      <c r="T82" s="66"/>
      <c r="U82" s="35" t="s">
        <v>239</v>
      </c>
      <c r="V82" s="39"/>
      <c r="W82" s="39"/>
      <c r="X82" s="39"/>
    </row>
    <row r="83" spans="1:24" ht="15.75" customHeight="1" x14ac:dyDescent="0.25">
      <c r="A83" s="49">
        <v>82</v>
      </c>
      <c r="B83" s="56" t="s">
        <v>252</v>
      </c>
      <c r="C83" s="61" t="s">
        <v>5</v>
      </c>
      <c r="D83" s="55">
        <v>2</v>
      </c>
      <c r="E83" s="55">
        <v>3</v>
      </c>
      <c r="F83" s="55" t="s">
        <v>572</v>
      </c>
      <c r="G83" s="55" t="s">
        <v>573</v>
      </c>
      <c r="H83" s="78"/>
      <c r="I83" s="92">
        <v>4.17</v>
      </c>
      <c r="J83" s="44">
        <v>1</v>
      </c>
      <c r="K83" s="44">
        <v>1</v>
      </c>
      <c r="L83" s="69"/>
      <c r="M83" s="69"/>
      <c r="N83" s="69"/>
      <c r="O83" s="69"/>
      <c r="P83" s="69"/>
      <c r="Q83" s="66"/>
      <c r="R83" s="66"/>
      <c r="S83" s="66"/>
      <c r="T83" s="66"/>
      <c r="U83" s="35" t="s">
        <v>239</v>
      </c>
      <c r="V83" s="39"/>
      <c r="W83" s="39"/>
      <c r="X83" s="39"/>
    </row>
    <row r="84" spans="1:24" ht="15.75" customHeight="1" x14ac:dyDescent="0.25">
      <c r="A84" s="49">
        <v>83</v>
      </c>
      <c r="B84" s="56" t="s">
        <v>133</v>
      </c>
      <c r="C84" s="61" t="s">
        <v>5</v>
      </c>
      <c r="D84" s="53">
        <v>1</v>
      </c>
      <c r="E84" s="53">
        <v>3</v>
      </c>
      <c r="F84" s="53" t="s">
        <v>545</v>
      </c>
      <c r="G84" s="53" t="s">
        <v>543</v>
      </c>
      <c r="H84" s="78">
        <v>15.66</v>
      </c>
      <c r="I84" s="92">
        <v>4.42</v>
      </c>
      <c r="J84" s="44">
        <v>1</v>
      </c>
      <c r="K84" s="44">
        <v>2</v>
      </c>
      <c r="L84" s="69"/>
      <c r="M84" s="69"/>
      <c r="N84" s="69"/>
      <c r="O84" s="69"/>
      <c r="P84" s="69"/>
      <c r="Q84" s="66"/>
      <c r="R84" s="66"/>
      <c r="S84" s="66"/>
      <c r="T84" s="66"/>
      <c r="U84" s="35" t="s">
        <v>239</v>
      </c>
      <c r="V84" s="39"/>
      <c r="W84" s="39"/>
      <c r="X84" s="39"/>
    </row>
    <row r="85" spans="1:24" ht="15.75" customHeight="1" x14ac:dyDescent="0.25">
      <c r="A85" s="49">
        <v>84</v>
      </c>
      <c r="B85" s="56" t="s">
        <v>134</v>
      </c>
      <c r="C85" s="61" t="s">
        <v>5</v>
      </c>
      <c r="D85" s="53">
        <v>1</v>
      </c>
      <c r="E85" s="53">
        <v>6</v>
      </c>
      <c r="F85" s="53" t="s">
        <v>435</v>
      </c>
      <c r="G85" s="53" t="s">
        <v>349</v>
      </c>
      <c r="H85" s="78">
        <v>16</v>
      </c>
      <c r="I85" s="92">
        <v>4.93</v>
      </c>
      <c r="J85" s="44">
        <v>1</v>
      </c>
      <c r="K85" s="44">
        <v>1</v>
      </c>
      <c r="L85" s="69"/>
      <c r="M85" s="69"/>
      <c r="N85" s="69"/>
      <c r="O85" s="69"/>
      <c r="P85" s="69"/>
      <c r="Q85" s="66"/>
      <c r="R85" s="66"/>
      <c r="S85" s="66"/>
      <c r="T85" s="66"/>
      <c r="U85" s="35" t="s">
        <v>239</v>
      </c>
      <c r="V85" s="39"/>
      <c r="W85" s="39"/>
      <c r="X85" s="39"/>
    </row>
    <row r="86" spans="1:24" ht="15.75" customHeight="1" x14ac:dyDescent="0.25">
      <c r="A86" s="49">
        <v>85</v>
      </c>
      <c r="B86" s="56" t="s">
        <v>135</v>
      </c>
      <c r="C86" s="61" t="s">
        <v>5</v>
      </c>
      <c r="D86" s="53">
        <v>2</v>
      </c>
      <c r="E86" s="53">
        <v>4</v>
      </c>
      <c r="F86" s="53" t="s">
        <v>532</v>
      </c>
      <c r="G86" s="53" t="s">
        <v>533</v>
      </c>
      <c r="H86" s="78">
        <v>16</v>
      </c>
      <c r="I86" s="92">
        <v>5</v>
      </c>
      <c r="J86" s="44">
        <v>2</v>
      </c>
      <c r="K86" s="44">
        <v>1</v>
      </c>
      <c r="L86" s="69"/>
      <c r="M86" s="69"/>
      <c r="N86" s="69"/>
      <c r="O86" s="69"/>
      <c r="P86" s="69"/>
      <c r="Q86" s="66"/>
      <c r="R86" s="66"/>
      <c r="S86" s="66"/>
      <c r="T86" s="66"/>
      <c r="U86" s="35" t="s">
        <v>239</v>
      </c>
      <c r="V86" s="39"/>
      <c r="W86" s="39"/>
      <c r="X86" s="39"/>
    </row>
    <row r="87" spans="1:24" ht="15.75" customHeight="1" x14ac:dyDescent="0.25">
      <c r="A87" s="49">
        <v>86</v>
      </c>
      <c r="B87" s="56" t="s">
        <v>136</v>
      </c>
      <c r="C87" s="61" t="s">
        <v>5</v>
      </c>
      <c r="D87" s="53">
        <v>2</v>
      </c>
      <c r="E87" s="53">
        <v>7</v>
      </c>
      <c r="F87" s="53" t="s">
        <v>551</v>
      </c>
      <c r="G87" s="53" t="s">
        <v>552</v>
      </c>
      <c r="H87" s="78">
        <v>16</v>
      </c>
      <c r="I87" s="92">
        <v>4.38</v>
      </c>
      <c r="J87" s="44">
        <v>3</v>
      </c>
      <c r="K87" s="44">
        <v>3</v>
      </c>
      <c r="L87" s="69"/>
      <c r="M87" s="69"/>
      <c r="N87" s="69"/>
      <c r="O87" s="69"/>
      <c r="P87" s="69"/>
      <c r="Q87" s="66"/>
      <c r="R87" s="66"/>
      <c r="S87" s="66"/>
      <c r="T87" s="66"/>
      <c r="U87" s="35" t="s">
        <v>239</v>
      </c>
      <c r="V87" s="39"/>
      <c r="W87" s="39"/>
      <c r="X87" s="39"/>
    </row>
    <row r="88" spans="1:24" ht="15.75" customHeight="1" x14ac:dyDescent="0.25">
      <c r="A88" s="49">
        <v>87</v>
      </c>
      <c r="B88" s="56" t="s">
        <v>228</v>
      </c>
      <c r="C88" s="61" t="s">
        <v>5</v>
      </c>
      <c r="D88" s="49">
        <v>2</v>
      </c>
      <c r="E88" s="49">
        <v>8</v>
      </c>
      <c r="F88" s="49" t="s">
        <v>497</v>
      </c>
      <c r="G88" s="49" t="s">
        <v>494</v>
      </c>
      <c r="H88" s="78">
        <v>16</v>
      </c>
      <c r="I88" s="92">
        <v>4.17</v>
      </c>
      <c r="J88" s="44">
        <v>2</v>
      </c>
      <c r="K88" s="44">
        <v>1</v>
      </c>
      <c r="L88" s="69"/>
      <c r="M88" s="69"/>
      <c r="N88" s="69"/>
      <c r="O88" s="69"/>
      <c r="P88" s="69"/>
      <c r="Q88" s="66"/>
      <c r="R88" s="66"/>
      <c r="S88" s="66"/>
      <c r="T88" s="66"/>
      <c r="U88" s="35" t="s">
        <v>239</v>
      </c>
      <c r="V88" s="39"/>
      <c r="W88" s="39"/>
      <c r="X88" s="39"/>
    </row>
    <row r="89" spans="1:24" ht="15.75" customHeight="1" x14ac:dyDescent="0.25">
      <c r="A89" s="49">
        <v>88</v>
      </c>
      <c r="B89" s="56" t="s">
        <v>139</v>
      </c>
      <c r="C89" s="61" t="s">
        <v>5</v>
      </c>
      <c r="D89" s="53">
        <v>3</v>
      </c>
      <c r="E89" s="53">
        <v>14</v>
      </c>
      <c r="F89" s="53" t="s">
        <v>525</v>
      </c>
      <c r="G89" s="53" t="s">
        <v>523</v>
      </c>
      <c r="H89" s="78">
        <v>16</v>
      </c>
      <c r="I89" s="92">
        <v>4.2</v>
      </c>
      <c r="J89" s="44">
        <v>3</v>
      </c>
      <c r="K89" s="44">
        <v>1</v>
      </c>
      <c r="L89" s="69"/>
      <c r="M89" s="69"/>
      <c r="N89" s="69"/>
      <c r="O89" s="69"/>
      <c r="P89" s="69"/>
      <c r="Q89" s="66"/>
      <c r="R89" s="66"/>
      <c r="S89" s="66"/>
      <c r="T89" s="66"/>
      <c r="U89" s="35" t="s">
        <v>239</v>
      </c>
      <c r="V89" s="39"/>
      <c r="W89" s="39"/>
      <c r="X89" s="39"/>
    </row>
    <row r="90" spans="1:24" ht="15.75" customHeight="1" x14ac:dyDescent="0.25">
      <c r="A90" s="49">
        <v>89</v>
      </c>
      <c r="B90" s="56" t="s">
        <v>140</v>
      </c>
      <c r="C90" s="61" t="s">
        <v>5</v>
      </c>
      <c r="D90" s="53">
        <v>1</v>
      </c>
      <c r="E90" s="53">
        <v>4</v>
      </c>
      <c r="F90" s="53" t="s">
        <v>454</v>
      </c>
      <c r="G90" s="53" t="s">
        <v>355</v>
      </c>
      <c r="H90" s="78">
        <v>16</v>
      </c>
      <c r="I90" s="92">
        <v>4.78</v>
      </c>
      <c r="J90" s="44">
        <v>1</v>
      </c>
      <c r="K90" s="44">
        <v>2</v>
      </c>
      <c r="L90" s="56"/>
      <c r="M90" s="56"/>
      <c r="N90" s="56"/>
      <c r="O90" s="56"/>
      <c r="P90" s="56"/>
      <c r="Q90" s="66"/>
      <c r="R90" s="66"/>
      <c r="S90" s="66"/>
      <c r="T90" s="66"/>
      <c r="U90" s="35" t="s">
        <v>239</v>
      </c>
      <c r="V90" s="39"/>
      <c r="W90" s="39"/>
      <c r="X90" s="39"/>
    </row>
    <row r="91" spans="1:24" ht="15.75" customHeight="1" x14ac:dyDescent="0.25">
      <c r="A91" s="49">
        <v>90</v>
      </c>
      <c r="B91" s="56" t="s">
        <v>229</v>
      </c>
      <c r="C91" s="61" t="s">
        <v>5</v>
      </c>
      <c r="D91" s="53">
        <v>2</v>
      </c>
      <c r="E91" s="53">
        <v>8</v>
      </c>
      <c r="F91" s="53" t="s">
        <v>500</v>
      </c>
      <c r="G91" s="53" t="s">
        <v>494</v>
      </c>
      <c r="H91" s="78">
        <v>14.62</v>
      </c>
      <c r="I91" s="92">
        <v>2.79</v>
      </c>
      <c r="J91" s="44">
        <v>1</v>
      </c>
      <c r="K91" s="44">
        <v>1</v>
      </c>
      <c r="L91" s="69"/>
      <c r="M91" s="69"/>
      <c r="N91" s="69"/>
      <c r="O91" s="69"/>
      <c r="P91" s="69"/>
      <c r="Q91" s="66"/>
      <c r="R91" s="66"/>
      <c r="S91" s="66"/>
      <c r="T91" s="66"/>
      <c r="U91" s="35" t="s">
        <v>239</v>
      </c>
      <c r="V91" s="39"/>
      <c r="W91" s="39"/>
      <c r="X91" s="39"/>
    </row>
    <row r="92" spans="1:24" ht="15.75" customHeight="1" x14ac:dyDescent="0.25">
      <c r="A92" s="49">
        <v>91</v>
      </c>
      <c r="B92" s="56" t="s">
        <v>141</v>
      </c>
      <c r="C92" s="61" t="s">
        <v>5</v>
      </c>
      <c r="D92" s="53">
        <v>1</v>
      </c>
      <c r="E92" s="53">
        <v>5</v>
      </c>
      <c r="F92" s="53" t="s">
        <v>589</v>
      </c>
      <c r="G92" s="53" t="s">
        <v>590</v>
      </c>
      <c r="H92" s="78">
        <v>16</v>
      </c>
      <c r="I92" s="92">
        <v>4.9800000000000004</v>
      </c>
      <c r="J92" s="44">
        <v>1</v>
      </c>
      <c r="K92" s="44">
        <v>1</v>
      </c>
      <c r="L92" s="56"/>
      <c r="M92" s="56"/>
      <c r="N92" s="56"/>
      <c r="O92" s="56"/>
      <c r="P92" s="56"/>
      <c r="Q92" s="66"/>
      <c r="R92" s="66"/>
      <c r="S92" s="66"/>
      <c r="T92" s="66"/>
      <c r="U92" s="35" t="s">
        <v>239</v>
      </c>
      <c r="V92" s="39"/>
      <c r="W92" s="39"/>
      <c r="X92" s="39"/>
    </row>
    <row r="93" spans="1:24" ht="15.75" customHeight="1" x14ac:dyDescent="0.25">
      <c r="A93" s="49">
        <v>92</v>
      </c>
      <c r="B93" s="56" t="s">
        <v>145</v>
      </c>
      <c r="C93" s="61" t="s">
        <v>5</v>
      </c>
      <c r="D93" s="53">
        <v>2</v>
      </c>
      <c r="E93" s="53">
        <v>7</v>
      </c>
      <c r="F93" s="53" t="s">
        <v>517</v>
      </c>
      <c r="G93" s="53" t="s">
        <v>514</v>
      </c>
      <c r="H93" s="78">
        <v>15.71</v>
      </c>
      <c r="I93" s="92">
        <v>4.9800000000000004</v>
      </c>
      <c r="J93" s="44">
        <v>2</v>
      </c>
      <c r="K93" s="44">
        <v>1</v>
      </c>
      <c r="L93" s="69"/>
      <c r="M93" s="69"/>
      <c r="N93" s="69"/>
      <c r="O93" s="69"/>
      <c r="P93" s="69"/>
      <c r="Q93" s="66"/>
      <c r="R93" s="66"/>
      <c r="S93" s="66"/>
      <c r="T93" s="66"/>
      <c r="U93" s="35" t="s">
        <v>239</v>
      </c>
      <c r="V93" s="39"/>
      <c r="W93" s="39"/>
      <c r="X93" s="39"/>
    </row>
    <row r="94" spans="1:24" ht="15.75" customHeight="1" x14ac:dyDescent="0.25">
      <c r="A94" s="49">
        <v>93</v>
      </c>
      <c r="B94" s="56" t="s">
        <v>230</v>
      </c>
      <c r="C94" s="61" t="s">
        <v>5</v>
      </c>
      <c r="D94" s="53">
        <v>2</v>
      </c>
      <c r="E94" s="53">
        <v>5</v>
      </c>
      <c r="F94" s="53" t="s">
        <v>457</v>
      </c>
      <c r="G94" s="53" t="s">
        <v>357</v>
      </c>
      <c r="H94" s="78">
        <v>16</v>
      </c>
      <c r="I94" s="92">
        <v>3.7</v>
      </c>
      <c r="J94" s="44">
        <v>1</v>
      </c>
      <c r="K94" s="44">
        <v>1</v>
      </c>
      <c r="L94" s="69"/>
      <c r="M94" s="69"/>
      <c r="N94" s="69"/>
      <c r="O94" s="69"/>
      <c r="P94" s="69"/>
      <c r="Q94" s="66"/>
      <c r="R94" s="66"/>
      <c r="S94" s="66"/>
      <c r="T94" s="66"/>
      <c r="U94" s="35" t="s">
        <v>239</v>
      </c>
      <c r="V94" s="39"/>
      <c r="W94" s="39"/>
      <c r="X94" s="39"/>
    </row>
    <row r="95" spans="1:24" ht="15.75" customHeight="1" x14ac:dyDescent="0.25">
      <c r="A95" s="49">
        <v>94</v>
      </c>
      <c r="B95" s="56" t="s">
        <v>142</v>
      </c>
      <c r="C95" s="61" t="s">
        <v>5</v>
      </c>
      <c r="D95" s="53">
        <v>1</v>
      </c>
      <c r="E95" s="53">
        <v>6</v>
      </c>
      <c r="F95" s="53" t="s">
        <v>673</v>
      </c>
      <c r="G95" s="53" t="s">
        <v>674</v>
      </c>
      <c r="H95" s="78">
        <v>16</v>
      </c>
      <c r="I95" s="92">
        <v>5</v>
      </c>
      <c r="J95" s="44">
        <v>4</v>
      </c>
      <c r="K95" s="44">
        <v>1</v>
      </c>
      <c r="L95" s="56"/>
      <c r="M95" s="56"/>
      <c r="N95" s="56"/>
      <c r="O95" s="56"/>
      <c r="P95" s="56"/>
      <c r="Q95" s="66"/>
      <c r="R95" s="66"/>
      <c r="S95" s="66"/>
      <c r="T95" s="66"/>
      <c r="U95" s="35" t="s">
        <v>239</v>
      </c>
      <c r="V95" s="39"/>
      <c r="W95" s="39"/>
      <c r="X95" s="39"/>
    </row>
    <row r="96" spans="1:24" ht="15.75" customHeight="1" x14ac:dyDescent="0.25">
      <c r="A96" s="49">
        <v>95</v>
      </c>
      <c r="B96" s="56" t="s">
        <v>129</v>
      </c>
      <c r="C96" s="61" t="s">
        <v>5</v>
      </c>
      <c r="D96" s="53">
        <v>2</v>
      </c>
      <c r="E96" s="53">
        <v>8</v>
      </c>
      <c r="F96" s="53" t="s">
        <v>535</v>
      </c>
      <c r="G96" s="53" t="s">
        <v>533</v>
      </c>
      <c r="H96" s="78">
        <v>15</v>
      </c>
      <c r="I96" s="92">
        <v>4.97</v>
      </c>
      <c r="J96" s="44">
        <v>1</v>
      </c>
      <c r="K96" s="44">
        <v>1</v>
      </c>
      <c r="L96" s="69"/>
      <c r="M96" s="69"/>
      <c r="N96" s="69"/>
      <c r="O96" s="69"/>
      <c r="P96" s="69"/>
      <c r="Q96" s="66"/>
      <c r="R96" s="66"/>
      <c r="S96" s="66"/>
      <c r="T96" s="66"/>
      <c r="U96" s="35" t="s">
        <v>239</v>
      </c>
      <c r="V96" s="39"/>
      <c r="W96" s="39"/>
      <c r="X96" s="39"/>
    </row>
    <row r="97" spans="1:24" ht="15.75" customHeight="1" x14ac:dyDescent="0.25">
      <c r="A97" s="49">
        <v>96</v>
      </c>
      <c r="B97" s="56" t="s">
        <v>130</v>
      </c>
      <c r="C97" s="61" t="s">
        <v>5</v>
      </c>
      <c r="D97" s="53">
        <v>2</v>
      </c>
      <c r="E97" s="53">
        <v>6</v>
      </c>
      <c r="F97" s="53" t="s">
        <v>541</v>
      </c>
      <c r="G97" s="53" t="s">
        <v>540</v>
      </c>
      <c r="H97" s="78">
        <v>16</v>
      </c>
      <c r="I97" s="92">
        <v>3.17</v>
      </c>
      <c r="J97" s="44">
        <v>2</v>
      </c>
      <c r="K97" s="44">
        <v>2</v>
      </c>
      <c r="L97" s="56"/>
      <c r="M97" s="56"/>
      <c r="N97" s="56"/>
      <c r="O97" s="56"/>
      <c r="P97" s="56"/>
      <c r="Q97" s="66"/>
      <c r="R97" s="66"/>
      <c r="S97" s="66"/>
      <c r="T97" s="66"/>
      <c r="U97" s="35" t="s">
        <v>239</v>
      </c>
      <c r="V97" s="39"/>
      <c r="W97" s="39"/>
      <c r="X97" s="39"/>
    </row>
    <row r="98" spans="1:24" ht="15.75" customHeight="1" x14ac:dyDescent="0.25">
      <c r="A98" s="49">
        <v>97</v>
      </c>
      <c r="B98" s="56" t="s">
        <v>137</v>
      </c>
      <c r="C98" s="61" t="s">
        <v>5</v>
      </c>
      <c r="D98" s="49">
        <v>2</v>
      </c>
      <c r="E98" s="49">
        <v>5</v>
      </c>
      <c r="F98" s="49" t="s">
        <v>638</v>
      </c>
      <c r="G98" s="49" t="s">
        <v>637</v>
      </c>
      <c r="H98" s="78">
        <v>16</v>
      </c>
      <c r="I98" s="92">
        <v>4.8</v>
      </c>
      <c r="J98" s="44">
        <v>2</v>
      </c>
      <c r="K98" s="44">
        <v>1</v>
      </c>
      <c r="L98" s="56"/>
      <c r="M98" s="56"/>
      <c r="N98" s="56"/>
      <c r="O98" s="56"/>
      <c r="P98" s="56"/>
      <c r="Q98" s="66"/>
      <c r="R98" s="66"/>
      <c r="S98" s="66"/>
      <c r="T98" s="66"/>
      <c r="U98" s="35" t="s">
        <v>239</v>
      </c>
      <c r="V98" s="39"/>
      <c r="W98" s="39"/>
      <c r="X98" s="39"/>
    </row>
    <row r="99" spans="1:24" ht="15.75" customHeight="1" x14ac:dyDescent="0.25">
      <c r="A99" s="49">
        <v>98</v>
      </c>
      <c r="B99" s="56" t="s">
        <v>138</v>
      </c>
      <c r="C99" s="61" t="s">
        <v>5</v>
      </c>
      <c r="D99" s="49">
        <v>1</v>
      </c>
      <c r="E99" s="49">
        <v>7</v>
      </c>
      <c r="F99" s="49" t="s">
        <v>527</v>
      </c>
      <c r="G99" s="49" t="s">
        <v>528</v>
      </c>
      <c r="H99" s="78">
        <v>16</v>
      </c>
      <c r="I99" s="92">
        <v>2.5</v>
      </c>
      <c r="J99" s="44">
        <v>4</v>
      </c>
      <c r="K99" s="44">
        <v>3</v>
      </c>
      <c r="L99" s="56"/>
      <c r="M99" s="56"/>
      <c r="N99" s="56"/>
      <c r="O99" s="56"/>
      <c r="P99" s="56"/>
      <c r="Q99" s="66"/>
      <c r="R99" s="66"/>
      <c r="S99" s="66"/>
      <c r="T99" s="66"/>
      <c r="U99" s="35" t="s">
        <v>239</v>
      </c>
      <c r="V99" s="39"/>
      <c r="W99" s="39"/>
      <c r="X99" s="39"/>
    </row>
    <row r="100" spans="1:24" ht="15.75" customHeight="1" x14ac:dyDescent="0.25">
      <c r="A100" s="104">
        <v>99</v>
      </c>
      <c r="B100" s="105" t="s">
        <v>144</v>
      </c>
      <c r="C100" s="106" t="s">
        <v>5</v>
      </c>
      <c r="D100" s="107"/>
      <c r="E100" s="107"/>
      <c r="F100" s="107"/>
      <c r="G100" s="107"/>
      <c r="H100" s="108">
        <v>16</v>
      </c>
      <c r="I100" s="126">
        <v>3.37</v>
      </c>
      <c r="J100" s="110"/>
      <c r="K100" s="110"/>
      <c r="L100" s="105"/>
      <c r="M100" s="105"/>
      <c r="N100" s="105"/>
      <c r="O100" s="105"/>
      <c r="P100" s="105"/>
      <c r="Q100" s="112"/>
      <c r="R100" s="112"/>
      <c r="S100" s="112"/>
      <c r="T100" s="112"/>
      <c r="U100" s="35" t="s">
        <v>239</v>
      </c>
      <c r="V100" s="39"/>
      <c r="W100" s="39"/>
      <c r="X100" s="39"/>
    </row>
    <row r="101" spans="1:24" ht="15.75" customHeight="1" x14ac:dyDescent="0.25">
      <c r="A101" s="49">
        <v>100</v>
      </c>
      <c r="B101" s="56" t="s">
        <v>126</v>
      </c>
      <c r="C101" s="61" t="s">
        <v>5</v>
      </c>
      <c r="D101" s="53">
        <v>3</v>
      </c>
      <c r="E101" s="53">
        <v>8</v>
      </c>
      <c r="F101" s="53" t="s">
        <v>623</v>
      </c>
      <c r="G101" s="53" t="s">
        <v>617</v>
      </c>
      <c r="H101" s="78"/>
      <c r="I101" s="92"/>
      <c r="J101" s="44">
        <v>1</v>
      </c>
      <c r="K101" s="44">
        <v>1</v>
      </c>
      <c r="L101" s="56"/>
      <c r="M101" s="56"/>
      <c r="N101" s="56"/>
      <c r="O101" s="56"/>
      <c r="P101" s="56"/>
      <c r="Q101" s="66"/>
      <c r="R101" s="66"/>
      <c r="S101" s="66"/>
      <c r="T101" s="66"/>
      <c r="U101" s="35" t="s">
        <v>239</v>
      </c>
      <c r="V101" s="39"/>
      <c r="W101" s="39"/>
      <c r="X101" s="39"/>
    </row>
    <row r="102" spans="1:24" ht="15.75" customHeight="1" x14ac:dyDescent="0.25">
      <c r="A102" s="49">
        <v>101</v>
      </c>
      <c r="B102" s="56" t="s">
        <v>201</v>
      </c>
      <c r="C102" s="61" t="s">
        <v>5</v>
      </c>
      <c r="D102" s="49">
        <v>1</v>
      </c>
      <c r="E102" s="49">
        <v>6</v>
      </c>
      <c r="F102" s="49" t="s">
        <v>516</v>
      </c>
      <c r="G102" s="49" t="s">
        <v>514</v>
      </c>
      <c r="H102" s="78">
        <v>13.37</v>
      </c>
      <c r="I102" s="92">
        <v>3.33</v>
      </c>
      <c r="J102" s="44">
        <v>1</v>
      </c>
      <c r="K102" s="44">
        <v>1</v>
      </c>
      <c r="L102" s="56"/>
      <c r="M102" s="56"/>
      <c r="N102" s="56"/>
      <c r="O102" s="56"/>
      <c r="P102" s="56"/>
      <c r="Q102" s="66"/>
      <c r="R102" s="66"/>
      <c r="S102" s="66"/>
      <c r="T102" s="66"/>
      <c r="U102" s="35" t="s">
        <v>239</v>
      </c>
      <c r="V102" s="39"/>
      <c r="W102" s="39"/>
      <c r="X102" s="39"/>
    </row>
    <row r="103" spans="1:24" ht="15.75" customHeight="1" x14ac:dyDescent="0.25">
      <c r="A103" s="49">
        <v>102</v>
      </c>
      <c r="B103" s="56" t="s">
        <v>255</v>
      </c>
      <c r="C103" s="61" t="s">
        <v>5</v>
      </c>
      <c r="D103" s="55">
        <v>1</v>
      </c>
      <c r="E103" s="55">
        <v>3</v>
      </c>
      <c r="F103" s="55" t="s">
        <v>542</v>
      </c>
      <c r="G103" s="55" t="s">
        <v>540</v>
      </c>
      <c r="H103" s="78">
        <v>16</v>
      </c>
      <c r="I103" s="92">
        <v>4.3</v>
      </c>
      <c r="J103" s="44">
        <v>1</v>
      </c>
      <c r="K103" s="44">
        <v>1</v>
      </c>
      <c r="L103" s="69"/>
      <c r="M103" s="69"/>
      <c r="N103" s="69"/>
      <c r="O103" s="69"/>
      <c r="P103" s="69"/>
      <c r="Q103" s="66"/>
      <c r="R103" s="66"/>
      <c r="S103" s="66"/>
      <c r="T103" s="66"/>
      <c r="U103" s="35" t="s">
        <v>239</v>
      </c>
      <c r="V103" s="39"/>
      <c r="W103" s="39"/>
      <c r="X103" s="39"/>
    </row>
    <row r="104" spans="1:24" ht="15.75" customHeight="1" x14ac:dyDescent="0.25">
      <c r="A104" s="49">
        <v>103</v>
      </c>
      <c r="B104" s="56" t="s">
        <v>231</v>
      </c>
      <c r="C104" s="61" t="s">
        <v>5</v>
      </c>
      <c r="D104" s="53">
        <v>3</v>
      </c>
      <c r="E104" s="53">
        <v>6</v>
      </c>
      <c r="F104" s="53" t="s">
        <v>571</v>
      </c>
      <c r="G104" s="53" t="s">
        <v>564</v>
      </c>
      <c r="H104" s="78">
        <v>16</v>
      </c>
      <c r="I104" s="92">
        <v>4.8499999999999996</v>
      </c>
      <c r="J104" s="44"/>
      <c r="K104" s="44"/>
      <c r="L104" s="57"/>
      <c r="M104" s="57"/>
      <c r="N104" s="57"/>
      <c r="O104" s="57"/>
      <c r="P104" s="56"/>
      <c r="Q104" s="66"/>
      <c r="R104" s="66"/>
      <c r="S104" s="66"/>
      <c r="T104" s="66"/>
      <c r="U104" s="35" t="s">
        <v>239</v>
      </c>
      <c r="V104" s="39"/>
      <c r="W104" s="39"/>
      <c r="X104" s="39"/>
    </row>
    <row r="105" spans="1:24" ht="15.75" customHeight="1" x14ac:dyDescent="0.25">
      <c r="A105" s="49">
        <v>104</v>
      </c>
      <c r="B105" s="56" t="s">
        <v>291</v>
      </c>
      <c r="C105" s="61" t="s">
        <v>5</v>
      </c>
      <c r="D105" s="55">
        <v>2</v>
      </c>
      <c r="E105" s="55">
        <v>6</v>
      </c>
      <c r="F105" s="55" t="s">
        <v>600</v>
      </c>
      <c r="G105" s="55" t="s">
        <v>599</v>
      </c>
      <c r="H105" s="78">
        <v>16</v>
      </c>
      <c r="I105" s="92">
        <v>4.7300000000000004</v>
      </c>
      <c r="J105" s="44">
        <v>1</v>
      </c>
      <c r="K105" s="44">
        <v>3</v>
      </c>
      <c r="L105" s="57"/>
      <c r="M105" s="57"/>
      <c r="N105" s="57"/>
      <c r="O105" s="57"/>
      <c r="P105" s="56"/>
      <c r="Q105" s="66"/>
      <c r="R105" s="66"/>
      <c r="S105" s="66"/>
      <c r="T105" s="66"/>
      <c r="U105" s="35" t="s">
        <v>239</v>
      </c>
      <c r="V105" s="39"/>
      <c r="W105" s="39"/>
      <c r="X105" s="39"/>
    </row>
    <row r="106" spans="1:24" ht="15.75" customHeight="1" x14ac:dyDescent="0.25">
      <c r="A106" s="49">
        <v>105</v>
      </c>
      <c r="B106" s="56" t="s">
        <v>264</v>
      </c>
      <c r="C106" s="61" t="s">
        <v>5</v>
      </c>
      <c r="D106" s="55">
        <v>2</v>
      </c>
      <c r="E106" s="55">
        <v>5</v>
      </c>
      <c r="F106" s="55" t="s">
        <v>594</v>
      </c>
      <c r="G106" s="55" t="s">
        <v>593</v>
      </c>
      <c r="H106" s="78">
        <v>16</v>
      </c>
      <c r="I106" s="92">
        <v>5</v>
      </c>
      <c r="J106" s="44">
        <v>2</v>
      </c>
      <c r="K106" s="44">
        <v>1</v>
      </c>
      <c r="L106" s="56"/>
      <c r="M106" s="56"/>
      <c r="N106" s="56"/>
      <c r="O106" s="56"/>
      <c r="P106" s="56"/>
      <c r="Q106" s="66"/>
      <c r="R106" s="66"/>
      <c r="S106" s="66"/>
      <c r="T106" s="66"/>
      <c r="U106" s="35" t="s">
        <v>239</v>
      </c>
      <c r="V106" s="39"/>
      <c r="W106" s="39"/>
      <c r="X106" s="39"/>
    </row>
    <row r="107" spans="1:24" ht="15.75" customHeight="1" x14ac:dyDescent="0.25">
      <c r="A107" s="49">
        <v>106</v>
      </c>
      <c r="B107" s="57" t="s">
        <v>268</v>
      </c>
      <c r="C107" s="59" t="s">
        <v>5</v>
      </c>
      <c r="D107" s="55">
        <v>3</v>
      </c>
      <c r="E107" s="55">
        <v>6</v>
      </c>
      <c r="F107" s="55" t="s">
        <v>615</v>
      </c>
      <c r="G107" s="55" t="s">
        <v>614</v>
      </c>
      <c r="H107" s="78">
        <v>16</v>
      </c>
      <c r="I107" s="92">
        <v>3.82</v>
      </c>
      <c r="J107" s="44">
        <v>1</v>
      </c>
      <c r="K107" s="44">
        <v>1</v>
      </c>
      <c r="L107" s="56"/>
      <c r="M107" s="56"/>
      <c r="N107" s="56"/>
      <c r="O107" s="56"/>
      <c r="P107" s="56"/>
      <c r="Q107" s="66"/>
      <c r="R107" s="66"/>
      <c r="S107" s="66"/>
      <c r="T107" s="66"/>
      <c r="U107" s="35" t="s">
        <v>239</v>
      </c>
      <c r="V107" s="39"/>
      <c r="W107" s="39"/>
      <c r="X107" s="39"/>
    </row>
    <row r="108" spans="1:24" ht="15.75" customHeight="1" x14ac:dyDescent="0.25">
      <c r="A108" s="49">
        <v>107</v>
      </c>
      <c r="B108" s="58" t="s">
        <v>327</v>
      </c>
      <c r="C108" s="60" t="s">
        <v>5</v>
      </c>
      <c r="D108" s="54">
        <v>2</v>
      </c>
      <c r="E108" s="54">
        <v>7</v>
      </c>
      <c r="F108" s="54" t="s">
        <v>560</v>
      </c>
      <c r="G108" s="54" t="s">
        <v>558</v>
      </c>
      <c r="H108" s="78">
        <v>16</v>
      </c>
      <c r="I108" s="92">
        <v>3.15</v>
      </c>
      <c r="L108" s="95"/>
      <c r="M108" s="95"/>
      <c r="N108" s="56"/>
      <c r="O108" s="56"/>
      <c r="P108" s="56"/>
      <c r="Q108" s="66"/>
      <c r="R108" s="66"/>
      <c r="S108" s="66"/>
      <c r="T108" s="66"/>
      <c r="U108" s="35" t="s">
        <v>239</v>
      </c>
      <c r="V108" s="39"/>
      <c r="W108" s="39"/>
      <c r="X108" s="39"/>
    </row>
    <row r="109" spans="1:24" s="96" customFormat="1" ht="15.75" customHeight="1" x14ac:dyDescent="0.25">
      <c r="A109" s="104">
        <v>108</v>
      </c>
      <c r="B109" s="129" t="s">
        <v>328</v>
      </c>
      <c r="C109" s="130" t="s">
        <v>5</v>
      </c>
      <c r="D109" s="118"/>
      <c r="E109" s="118"/>
      <c r="F109" s="118"/>
      <c r="G109" s="118"/>
      <c r="H109" s="131">
        <v>16</v>
      </c>
      <c r="I109" s="132">
        <v>3</v>
      </c>
      <c r="J109" s="114"/>
      <c r="K109" s="114"/>
      <c r="L109" s="127"/>
      <c r="M109" s="127"/>
      <c r="N109" s="127"/>
      <c r="O109" s="127"/>
      <c r="P109" s="127"/>
      <c r="Q109" s="133"/>
      <c r="R109" s="133"/>
      <c r="S109" s="133"/>
      <c r="T109" s="133"/>
      <c r="U109" s="42" t="s">
        <v>239</v>
      </c>
    </row>
    <row r="110" spans="1:24" s="96" customFormat="1" ht="15.75" customHeight="1" x14ac:dyDescent="0.25">
      <c r="A110" s="49">
        <v>109</v>
      </c>
      <c r="B110" s="58" t="s">
        <v>329</v>
      </c>
      <c r="C110" s="60" t="s">
        <v>5</v>
      </c>
      <c r="D110" s="54">
        <v>3</v>
      </c>
      <c r="E110" s="54">
        <v>11</v>
      </c>
      <c r="F110" s="54" t="s">
        <v>606</v>
      </c>
      <c r="G110" s="54" t="s">
        <v>607</v>
      </c>
      <c r="H110" s="54"/>
      <c r="I110" s="92"/>
      <c r="J110" s="54"/>
      <c r="K110" s="54"/>
      <c r="L110" s="58"/>
      <c r="M110" s="58"/>
      <c r="N110" s="58"/>
      <c r="O110" s="58"/>
      <c r="P110" s="58"/>
      <c r="Q110" s="67"/>
      <c r="R110" s="67"/>
      <c r="S110" s="67"/>
      <c r="T110" s="67"/>
      <c r="U110" s="42" t="s">
        <v>239</v>
      </c>
    </row>
    <row r="111" spans="1:24" s="96" customFormat="1" ht="15.75" customHeight="1" x14ac:dyDescent="0.25">
      <c r="A111" s="49">
        <v>110</v>
      </c>
      <c r="B111" s="58" t="s">
        <v>330</v>
      </c>
      <c r="C111" s="60" t="s">
        <v>5</v>
      </c>
      <c r="D111" s="54">
        <v>7</v>
      </c>
      <c r="E111" s="54">
        <v>8</v>
      </c>
      <c r="F111" s="54" t="s">
        <v>529</v>
      </c>
      <c r="G111" s="54" t="s">
        <v>530</v>
      </c>
      <c r="H111" s="54">
        <v>16</v>
      </c>
      <c r="I111" s="92">
        <v>2.6</v>
      </c>
      <c r="J111" s="54"/>
      <c r="K111" s="54"/>
      <c r="L111" s="58"/>
      <c r="M111" s="58"/>
      <c r="N111" s="58"/>
      <c r="O111" s="58"/>
      <c r="P111" s="58"/>
      <c r="Q111" s="67"/>
      <c r="R111" s="67"/>
      <c r="S111" s="67"/>
      <c r="T111" s="67"/>
      <c r="U111" s="42" t="s">
        <v>239</v>
      </c>
    </row>
    <row r="112" spans="1:24" s="96" customFormat="1" ht="15.75" customHeight="1" x14ac:dyDescent="0.25">
      <c r="A112" s="49">
        <v>111</v>
      </c>
      <c r="B112" s="58" t="s">
        <v>331</v>
      </c>
      <c r="C112" s="60" t="s">
        <v>5</v>
      </c>
      <c r="D112" s="54">
        <v>1</v>
      </c>
      <c r="E112" s="54">
        <v>4</v>
      </c>
      <c r="F112" s="54" t="s">
        <v>668</v>
      </c>
      <c r="G112" s="54" t="s">
        <v>669</v>
      </c>
      <c r="H112" s="54">
        <v>16</v>
      </c>
      <c r="I112" s="92">
        <v>4.09</v>
      </c>
      <c r="J112" s="54"/>
      <c r="K112" s="54"/>
      <c r="L112" s="58"/>
      <c r="M112" s="58"/>
      <c r="N112" s="58"/>
      <c r="O112" s="58"/>
      <c r="P112" s="58"/>
      <c r="Q112" s="67"/>
      <c r="R112" s="67"/>
      <c r="S112" s="67"/>
      <c r="T112" s="67"/>
      <c r="U112" s="42" t="s">
        <v>239</v>
      </c>
    </row>
    <row r="113" spans="1:24" s="96" customFormat="1" ht="15.75" customHeight="1" x14ac:dyDescent="0.25">
      <c r="A113" s="49">
        <v>112</v>
      </c>
      <c r="B113" s="58" t="s">
        <v>354</v>
      </c>
      <c r="C113" s="60" t="s">
        <v>5</v>
      </c>
      <c r="D113" s="54">
        <v>2</v>
      </c>
      <c r="E113" s="54">
        <v>8</v>
      </c>
      <c r="F113" s="54" t="s">
        <v>450</v>
      </c>
      <c r="G113" s="54" t="s">
        <v>355</v>
      </c>
      <c r="H113" s="54">
        <v>16</v>
      </c>
      <c r="I113" s="92">
        <v>4.42</v>
      </c>
      <c r="K113" s="54"/>
      <c r="L113" s="58"/>
      <c r="M113" s="58"/>
      <c r="N113" s="58"/>
      <c r="O113" s="58"/>
      <c r="P113" s="58"/>
      <c r="Q113" s="67"/>
      <c r="R113" s="67"/>
      <c r="S113" s="67"/>
      <c r="T113" s="67"/>
      <c r="U113" s="42" t="s">
        <v>239</v>
      </c>
    </row>
    <row r="114" spans="1:24" s="96" customFormat="1" ht="15.75" customHeight="1" x14ac:dyDescent="0.25">
      <c r="A114" s="104">
        <v>113</v>
      </c>
      <c r="B114" s="129" t="s">
        <v>369</v>
      </c>
      <c r="C114" s="130" t="s">
        <v>5</v>
      </c>
      <c r="D114" s="118"/>
      <c r="E114" s="118"/>
      <c r="F114" s="118"/>
      <c r="G114" s="118"/>
      <c r="H114" s="118">
        <v>16</v>
      </c>
      <c r="I114" s="126">
        <v>4.54</v>
      </c>
      <c r="J114" s="118"/>
      <c r="K114" s="118"/>
      <c r="L114" s="129"/>
      <c r="M114" s="129"/>
      <c r="N114" s="129"/>
      <c r="O114" s="129"/>
      <c r="P114" s="129"/>
      <c r="Q114" s="122"/>
      <c r="R114" s="122"/>
      <c r="S114" s="122"/>
      <c r="T114" s="122"/>
      <c r="U114" s="42" t="s">
        <v>239</v>
      </c>
    </row>
    <row r="115" spans="1:24" s="96" customFormat="1" ht="15.75" customHeight="1" x14ac:dyDescent="0.25">
      <c r="A115" s="49">
        <v>114</v>
      </c>
      <c r="B115" s="58" t="s">
        <v>370</v>
      </c>
      <c r="C115" s="60" t="s">
        <v>5</v>
      </c>
      <c r="D115" s="54">
        <v>1</v>
      </c>
      <c r="E115" s="54">
        <v>2</v>
      </c>
      <c r="F115" s="54" t="s">
        <v>690</v>
      </c>
      <c r="G115" s="54" t="s">
        <v>691</v>
      </c>
      <c r="H115" s="54"/>
      <c r="I115" s="92"/>
      <c r="J115" s="54"/>
      <c r="K115" s="54"/>
      <c r="L115" s="58"/>
      <c r="M115" s="58"/>
      <c r="N115" s="58"/>
      <c r="O115" s="58"/>
      <c r="P115" s="58"/>
      <c r="Q115" s="67"/>
      <c r="R115" s="67"/>
      <c r="S115" s="67"/>
      <c r="T115" s="67"/>
      <c r="U115" s="42" t="s">
        <v>239</v>
      </c>
    </row>
    <row r="116" spans="1:24" s="96" customFormat="1" ht="15.75" customHeight="1" x14ac:dyDescent="0.25">
      <c r="A116" s="49">
        <v>115</v>
      </c>
      <c r="B116" s="58" t="s">
        <v>380</v>
      </c>
      <c r="C116" s="60" t="s">
        <v>5</v>
      </c>
      <c r="D116" s="54">
        <v>1</v>
      </c>
      <c r="E116" s="54">
        <v>3</v>
      </c>
      <c r="F116" s="54" t="s">
        <v>439</v>
      </c>
      <c r="G116" s="54" t="s">
        <v>431</v>
      </c>
      <c r="H116" s="54">
        <v>16</v>
      </c>
      <c r="I116" s="92">
        <v>1.79</v>
      </c>
      <c r="J116" s="54"/>
      <c r="K116" s="54"/>
      <c r="L116" s="58"/>
      <c r="M116" s="58"/>
      <c r="N116" s="58"/>
      <c r="O116" s="58"/>
      <c r="P116" s="58"/>
      <c r="Q116" s="67"/>
      <c r="R116" s="67"/>
      <c r="S116" s="67"/>
      <c r="T116" s="67"/>
      <c r="U116" s="42" t="s">
        <v>239</v>
      </c>
    </row>
    <row r="117" spans="1:24" s="96" customFormat="1" ht="15.75" customHeight="1" x14ac:dyDescent="0.25">
      <c r="A117" s="49">
        <v>116</v>
      </c>
      <c r="B117" s="58" t="s">
        <v>723</v>
      </c>
      <c r="C117" s="60" t="s">
        <v>5</v>
      </c>
      <c r="D117" s="54">
        <v>3</v>
      </c>
      <c r="E117" s="54">
        <v>8</v>
      </c>
      <c r="F117" s="54" t="s">
        <v>724</v>
      </c>
      <c r="G117" s="54" t="s">
        <v>725</v>
      </c>
      <c r="H117" s="54">
        <v>16</v>
      </c>
      <c r="I117" s="92">
        <v>4.84</v>
      </c>
      <c r="J117" s="54"/>
      <c r="K117" s="54"/>
      <c r="L117" s="58"/>
      <c r="M117" s="58"/>
      <c r="N117" s="58"/>
      <c r="O117" s="58"/>
      <c r="P117" s="58"/>
      <c r="Q117" s="67"/>
      <c r="R117" s="67"/>
      <c r="S117" s="67"/>
      <c r="T117" s="67"/>
      <c r="U117" s="42"/>
    </row>
    <row r="118" spans="1:24" s="96" customFormat="1" ht="15.75" customHeight="1" x14ac:dyDescent="0.25">
      <c r="A118" s="49">
        <v>117</v>
      </c>
      <c r="B118" s="58" t="s">
        <v>726</v>
      </c>
      <c r="C118" s="60" t="s">
        <v>5</v>
      </c>
      <c r="D118" s="54">
        <v>2</v>
      </c>
      <c r="E118" s="54">
        <v>7</v>
      </c>
      <c r="F118" s="54" t="s">
        <v>727</v>
      </c>
      <c r="G118" s="54" t="s">
        <v>363</v>
      </c>
      <c r="H118" s="54">
        <v>15</v>
      </c>
      <c r="I118" s="92">
        <v>5</v>
      </c>
      <c r="J118" s="54"/>
      <c r="K118" s="54"/>
      <c r="L118" s="58"/>
      <c r="M118" s="58"/>
      <c r="N118" s="58"/>
      <c r="O118" s="58"/>
      <c r="P118" s="58"/>
      <c r="Q118" s="67"/>
      <c r="R118" s="67"/>
      <c r="S118" s="67"/>
      <c r="T118" s="67"/>
      <c r="U118" s="42"/>
    </row>
    <row r="119" spans="1:24" s="96" customFormat="1" ht="15.75" customHeight="1" x14ac:dyDescent="0.25">
      <c r="A119" s="49">
        <v>118</v>
      </c>
      <c r="B119" s="56" t="s">
        <v>151</v>
      </c>
      <c r="C119" s="61" t="s">
        <v>6</v>
      </c>
      <c r="D119" s="53">
        <v>7</v>
      </c>
      <c r="E119" s="53">
        <v>18</v>
      </c>
      <c r="F119" s="53" t="s">
        <v>561</v>
      </c>
      <c r="G119" s="53" t="s">
        <v>558</v>
      </c>
      <c r="H119" s="54">
        <v>16</v>
      </c>
      <c r="I119" s="92">
        <v>4.84</v>
      </c>
      <c r="J119" s="54">
        <v>5</v>
      </c>
      <c r="K119" s="54">
        <v>3</v>
      </c>
      <c r="L119" s="58"/>
      <c r="M119" s="58"/>
      <c r="N119" s="58"/>
      <c r="O119" s="58"/>
      <c r="P119" s="58"/>
      <c r="Q119" s="67"/>
      <c r="R119" s="67"/>
      <c r="S119" s="67"/>
      <c r="T119" s="67"/>
      <c r="U119" s="42" t="s">
        <v>239</v>
      </c>
    </row>
    <row r="120" spans="1:24" s="96" customFormat="1" ht="15.75" customHeight="1" x14ac:dyDescent="0.25">
      <c r="A120" s="49">
        <v>119</v>
      </c>
      <c r="B120" s="56" t="s">
        <v>149</v>
      </c>
      <c r="C120" s="61" t="s">
        <v>6</v>
      </c>
      <c r="D120" s="53">
        <v>2</v>
      </c>
      <c r="E120" s="53">
        <v>5</v>
      </c>
      <c r="F120" s="53" t="s">
        <v>455</v>
      </c>
      <c r="G120" s="53" t="s">
        <v>356</v>
      </c>
      <c r="H120" s="54">
        <v>16</v>
      </c>
      <c r="I120" s="92">
        <v>4.4800000000000004</v>
      </c>
      <c r="J120" s="54">
        <v>4</v>
      </c>
      <c r="K120" s="54">
        <v>4</v>
      </c>
      <c r="L120" s="58"/>
      <c r="M120" s="58"/>
      <c r="N120" s="58"/>
      <c r="O120" s="58"/>
      <c r="P120" s="58"/>
      <c r="Q120" s="67"/>
      <c r="R120" s="67"/>
      <c r="S120" s="67"/>
      <c r="T120" s="67"/>
      <c r="U120" s="42" t="s">
        <v>239</v>
      </c>
    </row>
    <row r="121" spans="1:24" s="96" customFormat="1" ht="15.75" customHeight="1" x14ac:dyDescent="0.25">
      <c r="A121" s="49">
        <v>120</v>
      </c>
      <c r="B121" s="56" t="s">
        <v>399</v>
      </c>
      <c r="C121" s="61" t="s">
        <v>6</v>
      </c>
      <c r="D121" s="53">
        <v>5</v>
      </c>
      <c r="E121" s="53">
        <v>13</v>
      </c>
      <c r="F121" s="53" t="s">
        <v>444</v>
      </c>
      <c r="G121" s="53" t="s">
        <v>351</v>
      </c>
      <c r="H121" s="54">
        <v>16</v>
      </c>
      <c r="I121" s="92">
        <v>5</v>
      </c>
      <c r="J121" s="54">
        <v>1</v>
      </c>
      <c r="K121" s="54">
        <v>1</v>
      </c>
      <c r="L121" s="58"/>
      <c r="M121" s="58"/>
      <c r="N121" s="58"/>
      <c r="O121" s="58"/>
      <c r="P121" s="58"/>
      <c r="Q121" s="67"/>
      <c r="R121" s="67"/>
      <c r="S121" s="67"/>
      <c r="T121" s="67"/>
      <c r="U121" s="42" t="s">
        <v>239</v>
      </c>
    </row>
    <row r="122" spans="1:24" ht="15.75" customHeight="1" x14ac:dyDescent="0.25">
      <c r="A122" s="49">
        <v>121</v>
      </c>
      <c r="B122" s="56" t="s">
        <v>150</v>
      </c>
      <c r="C122" s="61" t="s">
        <v>6</v>
      </c>
      <c r="D122" s="53">
        <v>2</v>
      </c>
      <c r="E122" s="53">
        <v>3</v>
      </c>
      <c r="F122" s="53" t="s">
        <v>456</v>
      </c>
      <c r="G122" s="53" t="s">
        <v>356</v>
      </c>
      <c r="H122" s="78">
        <v>16</v>
      </c>
      <c r="I122" s="92">
        <v>4.62</v>
      </c>
      <c r="J122" s="44">
        <v>4</v>
      </c>
      <c r="K122" s="44">
        <v>2</v>
      </c>
      <c r="L122" s="69"/>
      <c r="M122" s="69"/>
      <c r="N122" s="69"/>
      <c r="O122" s="69"/>
      <c r="P122" s="69"/>
      <c r="Q122" s="66"/>
      <c r="R122" s="66"/>
      <c r="S122" s="66"/>
      <c r="T122" s="66"/>
      <c r="U122" s="35" t="s">
        <v>239</v>
      </c>
      <c r="V122" s="39"/>
      <c r="W122" s="39"/>
      <c r="X122" s="39"/>
    </row>
    <row r="123" spans="1:24" ht="15.75" customHeight="1" x14ac:dyDescent="0.25">
      <c r="A123" s="49">
        <v>122</v>
      </c>
      <c r="B123" s="56" t="s">
        <v>234</v>
      </c>
      <c r="C123" s="61" t="s">
        <v>6</v>
      </c>
      <c r="D123" s="53">
        <v>4</v>
      </c>
      <c r="E123" s="53">
        <v>5</v>
      </c>
      <c r="F123" s="53" t="s">
        <v>428</v>
      </c>
      <c r="G123" s="53" t="s">
        <v>429</v>
      </c>
      <c r="H123" s="78">
        <v>16</v>
      </c>
      <c r="I123" s="92">
        <v>4.5999999999999996</v>
      </c>
      <c r="J123" s="44">
        <v>3</v>
      </c>
      <c r="K123" s="44">
        <v>1</v>
      </c>
      <c r="L123" s="69"/>
      <c r="M123" s="69"/>
      <c r="N123" s="69"/>
      <c r="O123" s="69"/>
      <c r="P123" s="69"/>
      <c r="Q123" s="66"/>
      <c r="R123" s="66"/>
      <c r="S123" s="66"/>
      <c r="T123" s="66"/>
      <c r="U123" s="35" t="s">
        <v>239</v>
      </c>
      <c r="V123" s="39"/>
      <c r="W123" s="39"/>
      <c r="X123" s="39"/>
    </row>
    <row r="124" spans="1:24" ht="15.75" customHeight="1" x14ac:dyDescent="0.25">
      <c r="A124" s="49">
        <v>123</v>
      </c>
      <c r="B124" s="56" t="s">
        <v>232</v>
      </c>
      <c r="C124" s="61" t="s">
        <v>6</v>
      </c>
      <c r="D124" s="53">
        <v>1</v>
      </c>
      <c r="E124" s="53">
        <v>10</v>
      </c>
      <c r="F124" s="53" t="s">
        <v>509</v>
      </c>
      <c r="G124" s="53" t="s">
        <v>510</v>
      </c>
      <c r="H124" s="78">
        <v>15.66</v>
      </c>
      <c r="I124" s="92">
        <v>3.81</v>
      </c>
      <c r="J124" s="44">
        <v>1</v>
      </c>
      <c r="K124" s="44">
        <v>1</v>
      </c>
      <c r="L124" s="56"/>
      <c r="M124" s="57"/>
      <c r="N124" s="57"/>
      <c r="O124" s="57"/>
      <c r="P124" s="57"/>
      <c r="Q124" s="66"/>
      <c r="R124" s="66"/>
      <c r="S124" s="66"/>
      <c r="T124" s="66"/>
      <c r="U124" s="35" t="s">
        <v>239</v>
      </c>
      <c r="V124" s="39"/>
      <c r="W124" s="39"/>
      <c r="X124" s="39"/>
    </row>
    <row r="125" spans="1:24" ht="15.75" customHeight="1" x14ac:dyDescent="0.25">
      <c r="A125" s="49">
        <v>124</v>
      </c>
      <c r="B125" s="56" t="s">
        <v>233</v>
      </c>
      <c r="C125" s="61" t="s">
        <v>6</v>
      </c>
      <c r="D125" s="49">
        <v>2</v>
      </c>
      <c r="E125" s="49">
        <v>3</v>
      </c>
      <c r="F125" s="49" t="s">
        <v>547</v>
      </c>
      <c r="G125" s="49" t="s">
        <v>543</v>
      </c>
      <c r="H125" s="78">
        <v>16</v>
      </c>
      <c r="I125" s="92">
        <v>4.84</v>
      </c>
      <c r="J125" s="44"/>
      <c r="K125" s="44"/>
      <c r="L125" s="56"/>
      <c r="M125" s="56"/>
      <c r="N125" s="56"/>
      <c r="O125" s="56"/>
      <c r="P125" s="56"/>
      <c r="Q125" s="68"/>
      <c r="R125" s="66"/>
      <c r="S125" s="66"/>
      <c r="T125" s="66"/>
      <c r="U125" s="35" t="s">
        <v>239</v>
      </c>
      <c r="V125" s="39"/>
      <c r="W125" s="39"/>
      <c r="X125" s="39"/>
    </row>
    <row r="126" spans="1:24" ht="15.75" customHeight="1" x14ac:dyDescent="0.25">
      <c r="A126" s="49">
        <v>125</v>
      </c>
      <c r="B126" s="56" t="s">
        <v>155</v>
      </c>
      <c r="C126" s="61" t="s">
        <v>6</v>
      </c>
      <c r="D126" s="53">
        <v>2</v>
      </c>
      <c r="E126" s="53">
        <v>4</v>
      </c>
      <c r="F126" s="53" t="s">
        <v>426</v>
      </c>
      <c r="G126" s="53" t="s">
        <v>427</v>
      </c>
      <c r="H126" s="78">
        <v>16</v>
      </c>
      <c r="I126" s="92">
        <v>3.42</v>
      </c>
      <c r="J126" s="44">
        <v>1</v>
      </c>
      <c r="K126" s="44">
        <v>2</v>
      </c>
      <c r="L126" s="69"/>
      <c r="M126" s="69"/>
      <c r="N126" s="69"/>
      <c r="O126" s="69"/>
      <c r="P126" s="69"/>
      <c r="Q126" s="66"/>
      <c r="R126" s="66"/>
      <c r="S126" s="66"/>
      <c r="T126" s="66"/>
      <c r="U126" s="35" t="s">
        <v>239</v>
      </c>
      <c r="V126" s="39"/>
      <c r="W126" s="39"/>
      <c r="X126" s="39"/>
    </row>
    <row r="127" spans="1:24" ht="15.75" customHeight="1" x14ac:dyDescent="0.25">
      <c r="A127" s="49">
        <v>126</v>
      </c>
      <c r="B127" s="56" t="s">
        <v>152</v>
      </c>
      <c r="C127" s="61" t="s">
        <v>6</v>
      </c>
      <c r="D127" s="53">
        <v>1</v>
      </c>
      <c r="E127" s="53">
        <v>4</v>
      </c>
      <c r="F127" s="53" t="s">
        <v>415</v>
      </c>
      <c r="G127" s="53" t="s">
        <v>416</v>
      </c>
      <c r="H127" s="78">
        <v>16</v>
      </c>
      <c r="I127" s="92">
        <v>3.12</v>
      </c>
      <c r="J127" s="44">
        <v>2</v>
      </c>
      <c r="K127" s="44">
        <v>2</v>
      </c>
      <c r="L127" s="69"/>
      <c r="M127" s="69"/>
      <c r="N127" s="69"/>
      <c r="O127" s="69"/>
      <c r="P127" s="69"/>
      <c r="Q127" s="66"/>
      <c r="R127" s="66"/>
      <c r="S127" s="66"/>
      <c r="T127" s="66"/>
      <c r="U127" s="35" t="s">
        <v>239</v>
      </c>
      <c r="V127" s="39"/>
      <c r="W127" s="39"/>
      <c r="X127" s="39"/>
    </row>
    <row r="128" spans="1:24" ht="15.75" customHeight="1" x14ac:dyDescent="0.25">
      <c r="A128" s="49">
        <v>127</v>
      </c>
      <c r="B128" s="56" t="s">
        <v>156</v>
      </c>
      <c r="C128" s="61" t="s">
        <v>6</v>
      </c>
      <c r="D128" s="53">
        <v>1</v>
      </c>
      <c r="E128" s="53">
        <v>7</v>
      </c>
      <c r="F128" s="53" t="s">
        <v>544</v>
      </c>
      <c r="G128" s="53" t="s">
        <v>543</v>
      </c>
      <c r="H128" s="78">
        <v>16</v>
      </c>
      <c r="I128" s="92">
        <v>3.33</v>
      </c>
      <c r="J128" s="44">
        <v>4</v>
      </c>
      <c r="K128" s="44">
        <v>3</v>
      </c>
      <c r="L128" s="69"/>
      <c r="M128" s="69"/>
      <c r="N128" s="69"/>
      <c r="O128" s="69"/>
      <c r="P128" s="69"/>
      <c r="Q128" s="66"/>
      <c r="R128" s="66"/>
      <c r="S128" s="66"/>
      <c r="T128" s="66"/>
      <c r="U128" s="35" t="s">
        <v>239</v>
      </c>
      <c r="V128" s="39"/>
      <c r="W128" s="39"/>
      <c r="X128" s="39"/>
    </row>
    <row r="129" spans="1:24" ht="15.75" customHeight="1" x14ac:dyDescent="0.25">
      <c r="A129" s="49">
        <v>128</v>
      </c>
      <c r="B129" s="56" t="s">
        <v>394</v>
      </c>
      <c r="C129" s="61" t="s">
        <v>6</v>
      </c>
      <c r="D129" s="53">
        <v>3</v>
      </c>
      <c r="E129" s="53">
        <v>4</v>
      </c>
      <c r="F129" s="53" t="s">
        <v>487</v>
      </c>
      <c r="G129" s="53" t="s">
        <v>366</v>
      </c>
      <c r="H129" s="78">
        <v>16</v>
      </c>
      <c r="I129" s="92">
        <v>4.5999999999999996</v>
      </c>
      <c r="J129" s="44">
        <v>6</v>
      </c>
      <c r="K129" s="44">
        <v>6</v>
      </c>
      <c r="L129" s="69"/>
      <c r="M129" s="69"/>
      <c r="N129" s="69"/>
      <c r="O129" s="69"/>
      <c r="P129" s="69"/>
      <c r="Q129" s="66"/>
      <c r="R129" s="66"/>
      <c r="S129" s="66"/>
      <c r="T129" s="66"/>
      <c r="U129" s="35" t="s">
        <v>239</v>
      </c>
      <c r="V129" s="39"/>
      <c r="W129" s="39"/>
      <c r="X129" s="39"/>
    </row>
    <row r="130" spans="1:24" ht="15.75" customHeight="1" x14ac:dyDescent="0.25">
      <c r="A130" s="49">
        <v>129</v>
      </c>
      <c r="B130" s="56" t="s">
        <v>235</v>
      </c>
      <c r="C130" s="61" t="s">
        <v>6</v>
      </c>
      <c r="D130" s="53">
        <v>1</v>
      </c>
      <c r="E130" s="53">
        <v>1</v>
      </c>
      <c r="F130" s="53" t="s">
        <v>411</v>
      </c>
      <c r="G130" s="53" t="s">
        <v>412</v>
      </c>
      <c r="H130" s="78">
        <v>16</v>
      </c>
      <c r="I130" s="92">
        <v>5</v>
      </c>
      <c r="J130" s="44"/>
      <c r="K130" s="44"/>
      <c r="L130" s="69"/>
      <c r="M130" s="69"/>
      <c r="N130" s="69"/>
      <c r="O130" s="69"/>
      <c r="P130" s="69"/>
      <c r="Q130" s="66"/>
      <c r="R130" s="66"/>
      <c r="S130" s="66"/>
      <c r="T130" s="66"/>
      <c r="U130" s="35" t="s">
        <v>239</v>
      </c>
      <c r="V130" s="39"/>
      <c r="W130" s="39"/>
      <c r="X130" s="39"/>
    </row>
    <row r="131" spans="1:24" ht="15.75" customHeight="1" x14ac:dyDescent="0.25">
      <c r="A131" s="49">
        <v>130</v>
      </c>
      <c r="B131" s="56" t="s">
        <v>566</v>
      </c>
      <c r="C131" s="61" t="s">
        <v>6</v>
      </c>
      <c r="D131" s="53">
        <v>4</v>
      </c>
      <c r="E131" s="53">
        <v>9</v>
      </c>
      <c r="F131" s="53" t="s">
        <v>567</v>
      </c>
      <c r="G131" s="53" t="s">
        <v>564</v>
      </c>
      <c r="H131" s="78"/>
      <c r="I131" s="92">
        <v>0</v>
      </c>
      <c r="J131" s="44">
        <v>3</v>
      </c>
      <c r="K131" s="44">
        <v>1</v>
      </c>
      <c r="L131" s="69"/>
      <c r="M131" s="69"/>
      <c r="N131" s="69"/>
      <c r="O131" s="69"/>
      <c r="P131" s="69"/>
      <c r="Q131" s="66"/>
      <c r="R131" s="66"/>
      <c r="S131" s="66"/>
      <c r="T131" s="66"/>
      <c r="U131" s="35" t="s">
        <v>239</v>
      </c>
      <c r="V131" s="39"/>
      <c r="W131" s="39"/>
      <c r="X131" s="39"/>
    </row>
    <row r="132" spans="1:24" ht="15.75" customHeight="1" x14ac:dyDescent="0.25">
      <c r="A132" s="49">
        <v>131</v>
      </c>
      <c r="B132" s="56" t="s">
        <v>153</v>
      </c>
      <c r="C132" s="61" t="s">
        <v>6</v>
      </c>
      <c r="D132" s="53">
        <v>4</v>
      </c>
      <c r="E132" s="53">
        <v>8</v>
      </c>
      <c r="F132" s="53" t="s">
        <v>507</v>
      </c>
      <c r="G132" s="53" t="s">
        <v>502</v>
      </c>
      <c r="H132" s="78"/>
      <c r="I132" s="92">
        <v>4.3</v>
      </c>
      <c r="J132" s="44"/>
      <c r="K132" s="44"/>
      <c r="L132" s="69"/>
      <c r="M132" s="69"/>
      <c r="N132" s="69"/>
      <c r="O132" s="69"/>
      <c r="P132" s="69"/>
      <c r="Q132" s="66"/>
      <c r="R132" s="66"/>
      <c r="S132" s="66"/>
      <c r="T132" s="66"/>
      <c r="U132" s="35" t="s">
        <v>239</v>
      </c>
      <c r="V132" s="39"/>
      <c r="W132" s="39"/>
      <c r="X132" s="39"/>
    </row>
    <row r="133" spans="1:24" ht="15.75" customHeight="1" x14ac:dyDescent="0.25">
      <c r="A133" s="104">
        <v>132</v>
      </c>
      <c r="B133" s="105" t="s">
        <v>158</v>
      </c>
      <c r="C133" s="106" t="s">
        <v>6</v>
      </c>
      <c r="D133" s="107"/>
      <c r="E133" s="107"/>
      <c r="F133" s="107"/>
      <c r="G133" s="107"/>
      <c r="H133" s="108">
        <v>16</v>
      </c>
      <c r="I133" s="109">
        <v>4</v>
      </c>
      <c r="J133" s="110"/>
      <c r="K133" s="110"/>
      <c r="L133" s="134"/>
      <c r="M133" s="134"/>
      <c r="N133" s="134"/>
      <c r="O133" s="105"/>
      <c r="P133" s="134"/>
      <c r="Q133" s="112"/>
      <c r="R133" s="112"/>
      <c r="S133" s="112"/>
      <c r="T133" s="112"/>
      <c r="U133" s="35" t="s">
        <v>239</v>
      </c>
      <c r="V133" s="39"/>
      <c r="W133" s="39"/>
      <c r="X133" s="39"/>
    </row>
    <row r="134" spans="1:24" ht="15.75" customHeight="1" x14ac:dyDescent="0.25">
      <c r="A134" s="49">
        <v>133</v>
      </c>
      <c r="B134" s="56" t="s">
        <v>159</v>
      </c>
      <c r="C134" s="61" t="s">
        <v>6</v>
      </c>
      <c r="D134" s="49">
        <v>1</v>
      </c>
      <c r="E134" s="49">
        <v>3</v>
      </c>
      <c r="F134" s="49" t="s">
        <v>421</v>
      </c>
      <c r="G134" s="49" t="s">
        <v>344</v>
      </c>
      <c r="H134" s="78"/>
      <c r="I134" s="92"/>
      <c r="J134" s="44">
        <v>8</v>
      </c>
      <c r="K134" s="44">
        <v>4</v>
      </c>
      <c r="L134" s="69"/>
      <c r="M134" s="69"/>
      <c r="N134" s="69"/>
      <c r="O134" s="69"/>
      <c r="P134" s="69"/>
      <c r="Q134" s="66"/>
      <c r="R134" s="66"/>
      <c r="S134" s="66"/>
      <c r="T134" s="66"/>
      <c r="U134" s="35" t="s">
        <v>239</v>
      </c>
      <c r="V134" s="39"/>
      <c r="W134" s="39"/>
      <c r="X134" s="39"/>
    </row>
    <row r="135" spans="1:24" ht="15.75" customHeight="1" x14ac:dyDescent="0.25">
      <c r="A135" s="49">
        <v>134</v>
      </c>
      <c r="B135" s="56" t="s">
        <v>147</v>
      </c>
      <c r="C135" s="61" t="s">
        <v>6</v>
      </c>
      <c r="D135" s="53">
        <v>2</v>
      </c>
      <c r="E135" s="53">
        <v>4</v>
      </c>
      <c r="F135" s="53" t="s">
        <v>432</v>
      </c>
      <c r="G135" s="53" t="s">
        <v>431</v>
      </c>
      <c r="H135" s="78">
        <v>16</v>
      </c>
      <c r="I135" s="92">
        <v>5</v>
      </c>
      <c r="J135" s="44">
        <v>1</v>
      </c>
      <c r="K135" s="44">
        <v>1</v>
      </c>
      <c r="L135" s="69"/>
      <c r="M135" s="69"/>
      <c r="N135" s="69"/>
      <c r="O135" s="69"/>
      <c r="P135" s="69"/>
      <c r="Q135" s="66"/>
      <c r="R135" s="66"/>
      <c r="S135" s="66"/>
      <c r="T135" s="66"/>
      <c r="U135" s="35" t="s">
        <v>239</v>
      </c>
      <c r="V135" s="39"/>
      <c r="W135" s="39"/>
      <c r="X135" s="39"/>
    </row>
    <row r="136" spans="1:24" ht="15.75" customHeight="1" x14ac:dyDescent="0.25">
      <c r="A136" s="49">
        <v>135</v>
      </c>
      <c r="B136" s="56" t="s">
        <v>236</v>
      </c>
      <c r="C136" s="61" t="s">
        <v>6</v>
      </c>
      <c r="D136" s="53">
        <v>3</v>
      </c>
      <c r="E136" s="53">
        <v>3</v>
      </c>
      <c r="F136" s="53" t="s">
        <v>430</v>
      </c>
      <c r="G136" s="53" t="s">
        <v>431</v>
      </c>
      <c r="H136" s="78">
        <v>16</v>
      </c>
      <c r="I136" s="92">
        <v>4.9400000000000004</v>
      </c>
      <c r="J136" s="44">
        <v>3</v>
      </c>
      <c r="K136" s="44">
        <v>2</v>
      </c>
      <c r="L136" s="69"/>
      <c r="M136" s="69"/>
      <c r="N136" s="69"/>
      <c r="O136" s="69"/>
      <c r="P136" s="69"/>
      <c r="Q136" s="66"/>
      <c r="R136" s="66"/>
      <c r="S136" s="66"/>
      <c r="T136" s="66"/>
      <c r="U136" s="35" t="s">
        <v>239</v>
      </c>
      <c r="V136" s="39"/>
      <c r="W136" s="39"/>
      <c r="X136" s="39"/>
    </row>
    <row r="137" spans="1:24" ht="15.75" customHeight="1" x14ac:dyDescent="0.25">
      <c r="A137" s="49">
        <v>136</v>
      </c>
      <c r="B137" s="56" t="s">
        <v>237</v>
      </c>
      <c r="C137" s="61" t="s">
        <v>6</v>
      </c>
      <c r="D137" s="53">
        <v>3</v>
      </c>
      <c r="E137" s="53">
        <v>4</v>
      </c>
      <c r="F137" s="53" t="s">
        <v>459</v>
      </c>
      <c r="G137" s="53" t="s">
        <v>358</v>
      </c>
      <c r="H137" s="78">
        <v>16</v>
      </c>
      <c r="I137" s="92">
        <v>5</v>
      </c>
      <c r="J137" s="44">
        <v>1</v>
      </c>
      <c r="K137" s="44">
        <v>1</v>
      </c>
      <c r="L137" s="69"/>
      <c r="M137" s="69"/>
      <c r="N137" s="69"/>
      <c r="O137" s="69"/>
      <c r="P137" s="69"/>
      <c r="Q137" s="66"/>
      <c r="R137" s="68"/>
      <c r="S137" s="66"/>
      <c r="T137" s="66"/>
      <c r="U137" s="35" t="s">
        <v>239</v>
      </c>
      <c r="V137" s="39"/>
      <c r="W137" s="39"/>
      <c r="X137" s="39"/>
    </row>
    <row r="138" spans="1:24" ht="15.75" customHeight="1" x14ac:dyDescent="0.25">
      <c r="A138" s="49">
        <v>137</v>
      </c>
      <c r="B138" s="56" t="s">
        <v>157</v>
      </c>
      <c r="C138" s="61" t="s">
        <v>6</v>
      </c>
      <c r="D138" s="53">
        <v>2</v>
      </c>
      <c r="E138" s="53">
        <v>5</v>
      </c>
      <c r="F138" s="53" t="s">
        <v>410</v>
      </c>
      <c r="G138" s="53" t="s">
        <v>341</v>
      </c>
      <c r="H138" s="78">
        <v>16</v>
      </c>
      <c r="I138" s="92">
        <v>2.9</v>
      </c>
      <c r="J138" s="44">
        <v>1</v>
      </c>
      <c r="K138" s="44">
        <v>2</v>
      </c>
      <c r="L138" s="56"/>
      <c r="M138" s="56"/>
      <c r="N138" s="56"/>
      <c r="O138" s="56"/>
      <c r="P138" s="56"/>
      <c r="Q138" s="66"/>
      <c r="R138" s="66"/>
      <c r="S138" s="66"/>
      <c r="T138" s="66"/>
      <c r="U138" s="35" t="s">
        <v>239</v>
      </c>
      <c r="V138" s="39"/>
      <c r="W138" s="39"/>
      <c r="X138" s="39"/>
    </row>
    <row r="139" spans="1:24" ht="15.75" customHeight="1" x14ac:dyDescent="0.25">
      <c r="A139" s="104">
        <v>138</v>
      </c>
      <c r="B139" s="105" t="s">
        <v>284</v>
      </c>
      <c r="C139" s="106" t="s">
        <v>6</v>
      </c>
      <c r="D139" s="114"/>
      <c r="E139" s="114"/>
      <c r="F139" s="114"/>
      <c r="G139" s="114"/>
      <c r="H139" s="108">
        <v>16</v>
      </c>
      <c r="I139" s="126">
        <v>3.2</v>
      </c>
      <c r="J139" s="110"/>
      <c r="K139" s="110"/>
      <c r="L139" s="134"/>
      <c r="M139" s="134"/>
      <c r="N139" s="134"/>
      <c r="O139" s="134"/>
      <c r="P139" s="134"/>
      <c r="Q139" s="112"/>
      <c r="R139" s="112"/>
      <c r="S139" s="112"/>
      <c r="T139" s="112"/>
      <c r="U139" s="35" t="s">
        <v>239</v>
      </c>
      <c r="V139" s="39"/>
      <c r="W139" s="39"/>
      <c r="X139" s="39"/>
    </row>
    <row r="140" spans="1:24" ht="15.75" customHeight="1" x14ac:dyDescent="0.25">
      <c r="A140" s="49">
        <v>139</v>
      </c>
      <c r="B140" s="48" t="s">
        <v>387</v>
      </c>
      <c r="C140" s="47" t="s">
        <v>6</v>
      </c>
      <c r="D140" s="54">
        <v>2</v>
      </c>
      <c r="E140" s="54">
        <v>5</v>
      </c>
      <c r="F140" s="54" t="s">
        <v>513</v>
      </c>
      <c r="G140" s="54" t="s">
        <v>514</v>
      </c>
      <c r="H140" s="78"/>
      <c r="I140" s="92"/>
      <c r="J140" s="44"/>
      <c r="K140" s="44"/>
      <c r="L140" s="69"/>
      <c r="M140" s="69"/>
      <c r="N140" s="69"/>
      <c r="O140" s="69"/>
      <c r="P140" s="69"/>
      <c r="Q140" s="66"/>
      <c r="R140" s="66"/>
      <c r="S140" s="66"/>
      <c r="T140" s="66"/>
      <c r="U140" s="35" t="s">
        <v>239</v>
      </c>
      <c r="V140" s="39"/>
      <c r="W140" s="39"/>
      <c r="X140" s="39"/>
    </row>
    <row r="141" spans="1:24" ht="15.75" customHeight="1" x14ac:dyDescent="0.25">
      <c r="A141" s="49">
        <v>140</v>
      </c>
      <c r="B141" s="48" t="s">
        <v>332</v>
      </c>
      <c r="C141" s="47" t="s">
        <v>6</v>
      </c>
      <c r="D141" s="54">
        <v>3</v>
      </c>
      <c r="E141" s="54">
        <v>6</v>
      </c>
      <c r="F141" s="54" t="s">
        <v>425</v>
      </c>
      <c r="G141" s="54" t="s">
        <v>347</v>
      </c>
      <c r="H141" s="78">
        <v>16</v>
      </c>
      <c r="I141" s="92">
        <v>2.48</v>
      </c>
      <c r="J141" s="44"/>
      <c r="K141" s="44"/>
      <c r="L141" s="69"/>
      <c r="M141" s="69"/>
      <c r="N141" s="69"/>
      <c r="O141" s="69"/>
      <c r="P141" s="69"/>
      <c r="Q141" s="66"/>
      <c r="R141" s="66"/>
      <c r="S141" s="66"/>
      <c r="T141" s="66"/>
      <c r="U141" s="35" t="s">
        <v>239</v>
      </c>
      <c r="V141" s="39"/>
      <c r="W141" s="39"/>
      <c r="X141" s="39"/>
    </row>
    <row r="142" spans="1:24" ht="15.75" customHeight="1" x14ac:dyDescent="0.25">
      <c r="A142" s="49">
        <v>141</v>
      </c>
      <c r="B142" s="48" t="s">
        <v>333</v>
      </c>
      <c r="C142" s="47" t="s">
        <v>6</v>
      </c>
      <c r="D142" s="54">
        <v>1</v>
      </c>
      <c r="E142" s="54">
        <v>6</v>
      </c>
      <c r="F142" s="54" t="s">
        <v>565</v>
      </c>
      <c r="G142" s="54" t="s">
        <v>564</v>
      </c>
      <c r="H142" s="78">
        <v>15.16</v>
      </c>
      <c r="I142" s="44">
        <v>4.68</v>
      </c>
      <c r="J142" s="44"/>
      <c r="K142" s="44"/>
      <c r="L142" s="69"/>
      <c r="M142" s="69"/>
      <c r="N142" s="69"/>
      <c r="O142" s="69"/>
      <c r="P142" s="69"/>
      <c r="Q142" s="66"/>
      <c r="R142" s="66"/>
      <c r="S142" s="66"/>
      <c r="T142" s="66"/>
      <c r="U142" s="35" t="s">
        <v>239</v>
      </c>
      <c r="V142" s="39"/>
      <c r="W142" s="39"/>
      <c r="X142" s="39"/>
    </row>
    <row r="143" spans="1:24" ht="15.75" customHeight="1" x14ac:dyDescent="0.25">
      <c r="A143" s="49">
        <v>142</v>
      </c>
      <c r="B143" s="48" t="s">
        <v>334</v>
      </c>
      <c r="C143" s="47" t="s">
        <v>6</v>
      </c>
      <c r="D143" s="54">
        <v>1</v>
      </c>
      <c r="E143" s="54">
        <v>5</v>
      </c>
      <c r="F143" s="54" t="s">
        <v>657</v>
      </c>
      <c r="G143" s="54" t="s">
        <v>658</v>
      </c>
      <c r="H143" s="81">
        <v>16</v>
      </c>
      <c r="I143" s="92">
        <v>5</v>
      </c>
      <c r="J143" s="46">
        <v>1</v>
      </c>
      <c r="K143" s="46">
        <v>1</v>
      </c>
      <c r="L143" s="76"/>
      <c r="M143" s="76"/>
      <c r="N143" s="76"/>
      <c r="O143" s="76"/>
      <c r="P143" s="76"/>
      <c r="Q143" s="67"/>
      <c r="R143" s="67"/>
      <c r="S143" s="67"/>
      <c r="T143" s="67"/>
      <c r="U143" s="91" t="s">
        <v>239</v>
      </c>
      <c r="V143" s="39"/>
      <c r="W143" s="39"/>
      <c r="X143" s="39"/>
    </row>
    <row r="144" spans="1:24" ht="15.75" customHeight="1" x14ac:dyDescent="0.25">
      <c r="A144" s="104">
        <v>143</v>
      </c>
      <c r="B144" s="115" t="s">
        <v>346</v>
      </c>
      <c r="C144" s="116" t="s">
        <v>6</v>
      </c>
      <c r="D144" s="118"/>
      <c r="E144" s="118"/>
      <c r="F144" s="118"/>
      <c r="G144" s="118"/>
      <c r="H144" s="117">
        <v>16</v>
      </c>
      <c r="I144" s="126">
        <v>4.51</v>
      </c>
      <c r="J144" s="120"/>
      <c r="K144" s="120"/>
      <c r="L144" s="135"/>
      <c r="M144" s="135"/>
      <c r="N144" s="135"/>
      <c r="O144" s="135"/>
      <c r="P144" s="135"/>
      <c r="Q144" s="122"/>
      <c r="R144" s="122"/>
      <c r="S144" s="122"/>
      <c r="T144" s="122"/>
      <c r="U144" s="91" t="s">
        <v>239</v>
      </c>
      <c r="V144" s="39"/>
      <c r="W144" s="39"/>
      <c r="X144" s="39"/>
    </row>
    <row r="145" spans="1:24" ht="15.75" customHeight="1" x14ac:dyDescent="0.25">
      <c r="A145" s="49">
        <v>144</v>
      </c>
      <c r="B145" s="48" t="s">
        <v>371</v>
      </c>
      <c r="C145" s="47" t="s">
        <v>6</v>
      </c>
      <c r="D145" s="54">
        <v>2</v>
      </c>
      <c r="E145" s="54">
        <v>6</v>
      </c>
      <c r="F145" s="54" t="s">
        <v>482</v>
      </c>
      <c r="G145" s="54" t="s">
        <v>477</v>
      </c>
      <c r="H145" s="81"/>
      <c r="I145" s="92"/>
      <c r="J145" s="46"/>
      <c r="K145" s="46"/>
      <c r="L145" s="76"/>
      <c r="M145" s="76"/>
      <c r="N145" s="76"/>
      <c r="O145" s="76"/>
      <c r="P145" s="76"/>
      <c r="Q145" s="67"/>
      <c r="R145" s="67"/>
      <c r="S145" s="67"/>
      <c r="T145" s="67"/>
      <c r="U145" s="91" t="s">
        <v>239</v>
      </c>
      <c r="V145" s="39"/>
      <c r="W145" s="39"/>
      <c r="X145" s="39"/>
    </row>
    <row r="146" spans="1:24" ht="15.75" customHeight="1" x14ac:dyDescent="0.25">
      <c r="A146" s="49">
        <v>145</v>
      </c>
      <c r="B146" s="48" t="s">
        <v>375</v>
      </c>
      <c r="C146" s="47" t="s">
        <v>6</v>
      </c>
      <c r="D146" s="54">
        <v>1</v>
      </c>
      <c r="E146" s="54">
        <v>2</v>
      </c>
      <c r="F146" s="54" t="s">
        <v>656</v>
      </c>
      <c r="G146" s="54" t="s">
        <v>655</v>
      </c>
      <c r="H146" s="81">
        <v>16</v>
      </c>
      <c r="I146" s="92">
        <v>4.8600000000000003</v>
      </c>
      <c r="J146" s="46"/>
      <c r="K146" s="46"/>
      <c r="L146" s="76"/>
      <c r="M146" s="76"/>
      <c r="N146" s="76"/>
      <c r="O146" s="76"/>
      <c r="P146" s="76"/>
      <c r="Q146" s="67"/>
      <c r="R146" s="67"/>
      <c r="S146" s="67"/>
      <c r="T146" s="67"/>
      <c r="U146" s="91" t="s">
        <v>239</v>
      </c>
      <c r="V146" s="39"/>
      <c r="W146" s="39"/>
      <c r="X146" s="39"/>
    </row>
    <row r="147" spans="1:24" ht="15.75" customHeight="1" x14ac:dyDescent="0.25">
      <c r="A147" s="49">
        <v>146</v>
      </c>
      <c r="B147" s="48" t="s">
        <v>385</v>
      </c>
      <c r="C147" s="47" t="s">
        <v>6</v>
      </c>
      <c r="D147" s="54">
        <v>1</v>
      </c>
      <c r="E147" s="54">
        <v>8</v>
      </c>
      <c r="F147" s="54" t="s">
        <v>650</v>
      </c>
      <c r="G147" s="54" t="s">
        <v>649</v>
      </c>
      <c r="H147" s="81">
        <v>15</v>
      </c>
      <c r="I147" s="92">
        <v>2.35</v>
      </c>
      <c r="J147" s="46"/>
      <c r="K147" s="46"/>
      <c r="L147" s="76"/>
      <c r="M147" s="76"/>
      <c r="N147" s="76"/>
      <c r="O147" s="76"/>
      <c r="P147" s="76"/>
      <c r="Q147" s="67"/>
      <c r="R147" s="67"/>
      <c r="S147" s="67"/>
      <c r="T147" s="67"/>
      <c r="U147" s="91" t="s">
        <v>239</v>
      </c>
      <c r="V147" s="39"/>
      <c r="W147" s="39"/>
      <c r="X147" s="39"/>
    </row>
    <row r="148" spans="1:24" ht="15.75" customHeight="1" x14ac:dyDescent="0.25">
      <c r="A148" s="49">
        <v>147</v>
      </c>
      <c r="B148" s="58" t="s">
        <v>326</v>
      </c>
      <c r="C148" s="60" t="s">
        <v>6</v>
      </c>
      <c r="D148" s="54">
        <v>1</v>
      </c>
      <c r="E148" s="54">
        <v>9</v>
      </c>
      <c r="F148" s="54" t="s">
        <v>554</v>
      </c>
      <c r="G148" s="54" t="s">
        <v>552</v>
      </c>
      <c r="H148" s="81">
        <v>14.37</v>
      </c>
      <c r="I148" s="92">
        <v>4.1100000000000003</v>
      </c>
      <c r="J148" s="46"/>
      <c r="K148" s="46"/>
      <c r="L148" s="76"/>
      <c r="M148" s="76"/>
      <c r="N148" s="76"/>
      <c r="O148" s="76"/>
      <c r="P148" s="76"/>
      <c r="Q148" s="67"/>
      <c r="R148" s="67"/>
      <c r="S148" s="67"/>
      <c r="T148" s="67"/>
      <c r="U148" s="91" t="s">
        <v>239</v>
      </c>
      <c r="V148" s="39"/>
      <c r="W148" s="39"/>
      <c r="X148" s="39"/>
    </row>
    <row r="149" spans="1:24" ht="15.75" customHeight="1" x14ac:dyDescent="0.25">
      <c r="A149" s="49">
        <v>148</v>
      </c>
      <c r="B149" s="58" t="s">
        <v>712</v>
      </c>
      <c r="C149" s="60" t="s">
        <v>6</v>
      </c>
      <c r="D149" s="54">
        <v>1</v>
      </c>
      <c r="E149" s="54">
        <v>5</v>
      </c>
      <c r="F149" s="54" t="s">
        <v>713</v>
      </c>
      <c r="G149" s="54" t="s">
        <v>344</v>
      </c>
      <c r="H149" s="81">
        <v>16</v>
      </c>
      <c r="I149" s="92">
        <v>4.76</v>
      </c>
      <c r="J149" s="46"/>
      <c r="K149" s="46"/>
      <c r="L149" s="76"/>
      <c r="M149" s="76"/>
      <c r="N149" s="76"/>
      <c r="O149" s="76"/>
      <c r="P149" s="76"/>
      <c r="Q149" s="67"/>
      <c r="R149" s="67"/>
      <c r="S149" s="67"/>
      <c r="T149" s="67"/>
      <c r="U149" s="91"/>
      <c r="V149" s="39"/>
      <c r="W149" s="39"/>
      <c r="X149" s="39"/>
    </row>
    <row r="150" spans="1:24" ht="15.75" customHeight="1" x14ac:dyDescent="0.25">
      <c r="A150" s="49">
        <v>149</v>
      </c>
      <c r="B150" s="58" t="s">
        <v>752</v>
      </c>
      <c r="C150" s="60" t="s">
        <v>6</v>
      </c>
      <c r="D150" s="54">
        <v>1</v>
      </c>
      <c r="E150" s="54">
        <v>7</v>
      </c>
      <c r="F150" s="54" t="s">
        <v>753</v>
      </c>
      <c r="G150" s="54" t="s">
        <v>494</v>
      </c>
      <c r="H150" s="81">
        <v>16</v>
      </c>
      <c r="I150" s="92">
        <v>4.88</v>
      </c>
      <c r="J150" s="46"/>
      <c r="K150" s="46"/>
      <c r="L150" s="76"/>
      <c r="M150" s="76"/>
      <c r="N150" s="76"/>
      <c r="O150" s="76"/>
      <c r="P150" s="76"/>
      <c r="Q150" s="67"/>
      <c r="R150" s="67"/>
      <c r="S150" s="67"/>
      <c r="T150" s="67"/>
      <c r="U150" s="91"/>
      <c r="V150" s="39"/>
      <c r="W150" s="39"/>
      <c r="X150" s="39"/>
    </row>
    <row r="151" spans="1:24" ht="15.75" customHeight="1" x14ac:dyDescent="0.25">
      <c r="A151" s="49">
        <v>150</v>
      </c>
      <c r="B151" s="58" t="s">
        <v>754</v>
      </c>
      <c r="C151" s="60" t="s">
        <v>6</v>
      </c>
      <c r="D151" s="54">
        <v>1</v>
      </c>
      <c r="E151" s="54">
        <v>4</v>
      </c>
      <c r="F151" s="54" t="s">
        <v>755</v>
      </c>
      <c r="G151" s="54" t="s">
        <v>523</v>
      </c>
      <c r="H151" s="81">
        <v>16</v>
      </c>
      <c r="I151" s="92">
        <v>4.3099999999999996</v>
      </c>
      <c r="J151" s="46"/>
      <c r="K151" s="46"/>
      <c r="L151" s="76"/>
      <c r="M151" s="76"/>
      <c r="N151" s="76"/>
      <c r="O151" s="76"/>
      <c r="P151" s="76"/>
      <c r="Q151" s="67"/>
      <c r="R151" s="67"/>
      <c r="S151" s="67"/>
      <c r="T151" s="67"/>
      <c r="U151" s="91"/>
      <c r="V151" s="39"/>
      <c r="W151" s="39"/>
      <c r="X151" s="39"/>
    </row>
    <row r="152" spans="1:24" ht="15.75" customHeight="1" x14ac:dyDescent="0.25">
      <c r="A152" s="49">
        <v>151</v>
      </c>
      <c r="B152" s="58" t="s">
        <v>756</v>
      </c>
      <c r="C152" s="60" t="s">
        <v>6</v>
      </c>
      <c r="D152" s="54">
        <v>1</v>
      </c>
      <c r="E152" s="54">
        <v>4</v>
      </c>
      <c r="F152" s="54" t="s">
        <v>757</v>
      </c>
      <c r="G152" s="54" t="s">
        <v>530</v>
      </c>
      <c r="H152" s="81">
        <v>16</v>
      </c>
      <c r="I152" s="92">
        <v>3.75</v>
      </c>
      <c r="J152" s="46"/>
      <c r="K152" s="46"/>
      <c r="L152" s="76"/>
      <c r="M152" s="76"/>
      <c r="N152" s="76"/>
      <c r="O152" s="76"/>
      <c r="P152" s="76"/>
      <c r="Q152" s="67"/>
      <c r="R152" s="67"/>
      <c r="S152" s="67"/>
      <c r="T152" s="67"/>
      <c r="U152" s="91"/>
      <c r="V152" s="39"/>
      <c r="W152" s="39"/>
      <c r="X152" s="39"/>
    </row>
    <row r="153" spans="1:24" ht="15.75" customHeight="1" x14ac:dyDescent="0.25">
      <c r="A153" s="49">
        <v>152</v>
      </c>
      <c r="B153" s="58" t="s">
        <v>758</v>
      </c>
      <c r="C153" s="60" t="s">
        <v>6</v>
      </c>
      <c r="D153" s="54">
        <v>1</v>
      </c>
      <c r="E153" s="54">
        <v>6</v>
      </c>
      <c r="F153" s="54" t="s">
        <v>759</v>
      </c>
      <c r="G153" s="54" t="s">
        <v>652</v>
      </c>
      <c r="H153" s="81">
        <v>16</v>
      </c>
      <c r="I153" s="92">
        <v>4.8</v>
      </c>
      <c r="J153" s="46"/>
      <c r="K153" s="46"/>
      <c r="L153" s="76"/>
      <c r="M153" s="76"/>
      <c r="N153" s="76"/>
      <c r="O153" s="76"/>
      <c r="P153" s="76"/>
      <c r="Q153" s="67"/>
      <c r="R153" s="67"/>
      <c r="S153" s="67"/>
      <c r="T153" s="67"/>
      <c r="U153" s="91"/>
      <c r="V153" s="39"/>
      <c r="W153" s="39"/>
      <c r="X153" s="39"/>
    </row>
    <row r="154" spans="1:24" ht="15.75" customHeight="1" x14ac:dyDescent="0.25">
      <c r="A154" s="49">
        <v>153</v>
      </c>
      <c r="B154" s="58" t="s">
        <v>760</v>
      </c>
      <c r="C154" s="60" t="s">
        <v>6</v>
      </c>
      <c r="D154" s="54">
        <v>1</v>
      </c>
      <c r="E154" s="54">
        <v>2</v>
      </c>
      <c r="F154" s="54" t="s">
        <v>761</v>
      </c>
      <c r="G154" s="54" t="s">
        <v>762</v>
      </c>
      <c r="H154" s="81">
        <v>16</v>
      </c>
      <c r="I154" s="92">
        <v>3.87</v>
      </c>
      <c r="J154" s="46"/>
      <c r="K154" s="46"/>
      <c r="L154" s="76"/>
      <c r="M154" s="76"/>
      <c r="N154" s="76"/>
      <c r="O154" s="76"/>
      <c r="P154" s="76"/>
      <c r="Q154" s="67"/>
      <c r="R154" s="67"/>
      <c r="S154" s="67"/>
      <c r="T154" s="67"/>
      <c r="U154" s="91"/>
      <c r="V154" s="39"/>
      <c r="W154" s="39"/>
      <c r="X154" s="39"/>
    </row>
    <row r="155" spans="1:24" ht="15.75" customHeight="1" x14ac:dyDescent="0.25">
      <c r="A155" s="49">
        <v>154</v>
      </c>
      <c r="B155" s="58" t="s">
        <v>763</v>
      </c>
      <c r="C155" s="60" t="s">
        <v>6</v>
      </c>
      <c r="D155" s="54">
        <v>1</v>
      </c>
      <c r="E155" s="54">
        <v>4</v>
      </c>
      <c r="F155" s="54" t="s">
        <v>764</v>
      </c>
      <c r="G155" s="54" t="s">
        <v>765</v>
      </c>
      <c r="H155" s="81">
        <v>14.5</v>
      </c>
      <c r="I155" s="92">
        <v>3.46</v>
      </c>
      <c r="J155" s="46"/>
      <c r="K155" s="46"/>
      <c r="L155" s="76"/>
      <c r="M155" s="76"/>
      <c r="N155" s="76"/>
      <c r="O155" s="76"/>
      <c r="P155" s="76"/>
      <c r="Q155" s="67"/>
      <c r="R155" s="67"/>
      <c r="S155" s="67"/>
      <c r="T155" s="67"/>
      <c r="U155" s="91"/>
      <c r="V155" s="39"/>
      <c r="W155" s="39"/>
      <c r="X155" s="39"/>
    </row>
    <row r="156" spans="1:24" ht="15.75" customHeight="1" x14ac:dyDescent="0.25">
      <c r="A156" s="49">
        <v>155</v>
      </c>
      <c r="B156" s="56" t="s">
        <v>160</v>
      </c>
      <c r="C156" s="61" t="s">
        <v>220</v>
      </c>
      <c r="D156" s="53">
        <v>1</v>
      </c>
      <c r="E156" s="53">
        <v>4</v>
      </c>
      <c r="F156" s="53" t="s">
        <v>526</v>
      </c>
      <c r="G156" s="53" t="s">
        <v>523</v>
      </c>
      <c r="H156" s="81">
        <v>15.75</v>
      </c>
      <c r="I156" s="92">
        <v>4.3499999999999996</v>
      </c>
      <c r="J156" s="46">
        <v>3</v>
      </c>
      <c r="K156" s="46">
        <v>1</v>
      </c>
      <c r="L156" s="76"/>
      <c r="M156" s="76"/>
      <c r="N156" s="76"/>
      <c r="O156" s="76"/>
      <c r="P156" s="76"/>
      <c r="Q156" s="67"/>
      <c r="R156" s="67"/>
      <c r="S156" s="67"/>
      <c r="T156" s="67"/>
      <c r="U156" s="91" t="s">
        <v>239</v>
      </c>
      <c r="V156" s="39"/>
      <c r="W156" s="39"/>
      <c r="X156" s="39"/>
    </row>
    <row r="157" spans="1:24" ht="15.75" customHeight="1" x14ac:dyDescent="0.25">
      <c r="A157" s="49">
        <v>156</v>
      </c>
      <c r="B157" s="56" t="s">
        <v>161</v>
      </c>
      <c r="C157" s="61" t="s">
        <v>220</v>
      </c>
      <c r="D157" s="53">
        <v>1</v>
      </c>
      <c r="E157" s="53">
        <v>4</v>
      </c>
      <c r="F157" s="53" t="s">
        <v>479</v>
      </c>
      <c r="G157" s="53" t="s">
        <v>477</v>
      </c>
      <c r="H157" s="81">
        <v>16</v>
      </c>
      <c r="I157" s="92">
        <v>4.76</v>
      </c>
      <c r="J157" s="46">
        <v>1</v>
      </c>
      <c r="K157" s="46">
        <v>1</v>
      </c>
      <c r="L157" s="76"/>
      <c r="M157" s="76"/>
      <c r="N157" s="76"/>
      <c r="O157" s="76"/>
      <c r="P157" s="76"/>
      <c r="Q157" s="67"/>
      <c r="R157" s="67"/>
      <c r="S157" s="67"/>
      <c r="T157" s="67"/>
      <c r="U157" s="91" t="s">
        <v>239</v>
      </c>
      <c r="V157" s="39"/>
      <c r="W157" s="39"/>
      <c r="X157" s="39"/>
    </row>
    <row r="158" spans="1:24" ht="15.75" customHeight="1" x14ac:dyDescent="0.25">
      <c r="A158" s="49">
        <v>157</v>
      </c>
      <c r="B158" s="56" t="s">
        <v>162</v>
      </c>
      <c r="C158" s="61" t="s">
        <v>220</v>
      </c>
      <c r="D158" s="53">
        <v>1</v>
      </c>
      <c r="E158" s="53">
        <v>2</v>
      </c>
      <c r="F158" s="53" t="s">
        <v>619</v>
      </c>
      <c r="G158" s="53" t="s">
        <v>617</v>
      </c>
      <c r="H158" s="78"/>
      <c r="I158" s="92">
        <v>4.4400000000000004</v>
      </c>
      <c r="J158" s="44">
        <v>3</v>
      </c>
      <c r="K158" s="44">
        <v>0</v>
      </c>
      <c r="L158" s="69"/>
      <c r="M158" s="69"/>
      <c r="N158" s="69"/>
      <c r="O158" s="69"/>
      <c r="P158" s="69"/>
      <c r="Q158" s="66"/>
      <c r="R158" s="66"/>
      <c r="S158" s="66"/>
      <c r="T158" s="66"/>
      <c r="U158" s="35" t="s">
        <v>239</v>
      </c>
      <c r="V158" s="39"/>
      <c r="W158" s="39"/>
      <c r="X158" s="39"/>
    </row>
    <row r="159" spans="1:24" ht="15.75" customHeight="1" x14ac:dyDescent="0.25">
      <c r="A159" s="49">
        <v>158</v>
      </c>
      <c r="B159" s="56" t="s">
        <v>179</v>
      </c>
      <c r="C159" s="61" t="s">
        <v>220</v>
      </c>
      <c r="D159" s="53">
        <v>1</v>
      </c>
      <c r="E159" s="53">
        <v>3</v>
      </c>
      <c r="F159" s="53" t="s">
        <v>475</v>
      </c>
      <c r="G159" s="53" t="s">
        <v>364</v>
      </c>
      <c r="H159" s="78"/>
      <c r="I159" s="92">
        <v>3.93</v>
      </c>
      <c r="J159" s="44">
        <v>2</v>
      </c>
      <c r="K159" s="44">
        <v>1</v>
      </c>
      <c r="L159" s="69"/>
      <c r="M159" s="69"/>
      <c r="N159" s="69"/>
      <c r="O159" s="69"/>
      <c r="P159" s="69"/>
      <c r="Q159" s="66"/>
      <c r="R159" s="66"/>
      <c r="S159" s="66"/>
      <c r="T159" s="66"/>
      <c r="U159" s="35" t="s">
        <v>239</v>
      </c>
      <c r="V159" s="39"/>
      <c r="W159" s="39"/>
      <c r="X159" s="39"/>
    </row>
    <row r="160" spans="1:24" ht="15.75" customHeight="1" x14ac:dyDescent="0.25">
      <c r="A160" s="104">
        <v>159</v>
      </c>
      <c r="B160" s="105" t="s">
        <v>197</v>
      </c>
      <c r="C160" s="106" t="s">
        <v>220</v>
      </c>
      <c r="D160" s="107"/>
      <c r="E160" s="107"/>
      <c r="F160" s="107"/>
      <c r="G160" s="107"/>
      <c r="H160" s="108"/>
      <c r="I160" s="109">
        <v>4.57</v>
      </c>
      <c r="J160" s="110"/>
      <c r="K160" s="110"/>
      <c r="L160" s="134"/>
      <c r="M160" s="134"/>
      <c r="N160" s="134"/>
      <c r="O160" s="134"/>
      <c r="P160" s="134"/>
      <c r="Q160" s="112"/>
      <c r="R160" s="112"/>
      <c r="S160" s="112"/>
      <c r="T160" s="112"/>
      <c r="U160" s="35" t="s">
        <v>239</v>
      </c>
      <c r="V160" s="39"/>
      <c r="W160" s="39"/>
      <c r="X160" s="39"/>
    </row>
    <row r="161" spans="1:24" ht="15.75" customHeight="1" x14ac:dyDescent="0.25">
      <c r="A161" s="49">
        <v>160</v>
      </c>
      <c r="B161" s="56" t="s">
        <v>164</v>
      </c>
      <c r="C161" s="61" t="s">
        <v>220</v>
      </c>
      <c r="D161" s="53">
        <v>1</v>
      </c>
      <c r="E161" s="53">
        <v>3</v>
      </c>
      <c r="F161" s="53" t="s">
        <v>681</v>
      </c>
      <c r="G161" s="53" t="s">
        <v>682</v>
      </c>
      <c r="H161" s="78"/>
      <c r="I161" s="92"/>
      <c r="J161" s="44">
        <v>2</v>
      </c>
      <c r="K161" s="44">
        <v>1</v>
      </c>
      <c r="L161" s="69"/>
      <c r="M161" s="69"/>
      <c r="N161" s="69"/>
      <c r="O161" s="69"/>
      <c r="P161" s="69"/>
      <c r="Q161" s="66"/>
      <c r="R161" s="66"/>
      <c r="S161" s="66"/>
      <c r="T161" s="66"/>
      <c r="U161" s="35" t="s">
        <v>239</v>
      </c>
      <c r="V161" s="39"/>
      <c r="W161" s="39"/>
      <c r="X161" s="39"/>
    </row>
    <row r="162" spans="1:24" ht="15.75" customHeight="1" x14ac:dyDescent="0.25">
      <c r="A162" s="49">
        <v>161</v>
      </c>
      <c r="B162" s="56" t="s">
        <v>182</v>
      </c>
      <c r="C162" s="61" t="s">
        <v>220</v>
      </c>
      <c r="D162" s="53">
        <v>6</v>
      </c>
      <c r="E162" s="53">
        <v>9</v>
      </c>
      <c r="F162" s="53" t="s">
        <v>447</v>
      </c>
      <c r="G162" s="53" t="s">
        <v>448</v>
      </c>
      <c r="H162" s="78"/>
      <c r="I162" s="92">
        <v>5</v>
      </c>
      <c r="J162" s="44">
        <v>1</v>
      </c>
      <c r="K162" s="44">
        <v>5</v>
      </c>
      <c r="L162" s="56"/>
      <c r="M162" s="56"/>
      <c r="N162" s="56"/>
      <c r="O162" s="56"/>
      <c r="P162" s="56"/>
      <c r="Q162" s="66"/>
      <c r="R162" s="66"/>
      <c r="S162" s="66"/>
      <c r="T162" s="66"/>
      <c r="U162" s="35" t="s">
        <v>239</v>
      </c>
      <c r="V162" s="39"/>
      <c r="W162" s="39"/>
      <c r="X162" s="39"/>
    </row>
    <row r="163" spans="1:24" ht="15.75" customHeight="1" x14ac:dyDescent="0.25">
      <c r="A163" s="49">
        <v>162</v>
      </c>
      <c r="B163" s="56" t="s">
        <v>206</v>
      </c>
      <c r="C163" s="61" t="s">
        <v>220</v>
      </c>
      <c r="D163" s="53">
        <v>1</v>
      </c>
      <c r="E163" s="53">
        <v>9</v>
      </c>
      <c r="F163" s="53" t="s">
        <v>581</v>
      </c>
      <c r="G163" s="53" t="s">
        <v>582</v>
      </c>
      <c r="H163" s="78">
        <v>16</v>
      </c>
      <c r="I163" s="92">
        <v>3.09</v>
      </c>
      <c r="J163" s="44">
        <v>1</v>
      </c>
      <c r="K163" s="44">
        <v>1</v>
      </c>
      <c r="L163" s="69"/>
      <c r="M163" s="69"/>
      <c r="N163" s="69"/>
      <c r="O163" s="69"/>
      <c r="P163" s="69"/>
      <c r="Q163" s="66"/>
      <c r="R163" s="66"/>
      <c r="S163" s="66"/>
      <c r="T163" s="66"/>
      <c r="U163" s="35" t="s">
        <v>239</v>
      </c>
      <c r="V163" s="39"/>
      <c r="W163" s="39"/>
      <c r="X163" s="39"/>
    </row>
    <row r="164" spans="1:24" ht="15.75" customHeight="1" x14ac:dyDescent="0.25">
      <c r="A164" s="49">
        <v>163</v>
      </c>
      <c r="B164" s="56" t="s">
        <v>388</v>
      </c>
      <c r="C164" s="61" t="s">
        <v>220</v>
      </c>
      <c r="D164" s="53">
        <v>2</v>
      </c>
      <c r="E164" s="53">
        <v>5</v>
      </c>
      <c r="F164" s="53" t="s">
        <v>521</v>
      </c>
      <c r="G164" s="53" t="s">
        <v>519</v>
      </c>
      <c r="H164" s="78">
        <v>16</v>
      </c>
      <c r="I164" s="92">
        <v>4.33</v>
      </c>
      <c r="J164" s="44">
        <v>1</v>
      </c>
      <c r="K164" s="44">
        <v>1</v>
      </c>
      <c r="L164" s="56"/>
      <c r="M164" s="56"/>
      <c r="N164" s="56"/>
      <c r="O164" s="56"/>
      <c r="P164" s="56"/>
      <c r="Q164" s="66"/>
      <c r="R164" s="66"/>
      <c r="S164" s="66"/>
      <c r="T164" s="66"/>
      <c r="U164" s="35" t="s">
        <v>239</v>
      </c>
      <c r="V164" s="39"/>
      <c r="W164" s="39"/>
      <c r="X164" s="39"/>
    </row>
    <row r="165" spans="1:24" ht="15.75" customHeight="1" x14ac:dyDescent="0.25">
      <c r="A165" s="104">
        <v>164</v>
      </c>
      <c r="B165" s="105" t="s">
        <v>165</v>
      </c>
      <c r="C165" s="106" t="s">
        <v>220</v>
      </c>
      <c r="D165" s="107"/>
      <c r="E165" s="107"/>
      <c r="F165" s="107"/>
      <c r="G165" s="107"/>
      <c r="H165" s="108">
        <v>15.6</v>
      </c>
      <c r="I165" s="126">
        <v>4.16</v>
      </c>
      <c r="J165" s="104"/>
      <c r="K165" s="104"/>
      <c r="L165" s="105"/>
      <c r="M165" s="105"/>
      <c r="N165" s="105"/>
      <c r="O165" s="105"/>
      <c r="P165" s="105"/>
      <c r="Q165" s="112"/>
      <c r="R165" s="112"/>
      <c r="S165" s="112"/>
      <c r="T165" s="112"/>
      <c r="U165" s="35" t="s">
        <v>239</v>
      </c>
      <c r="V165" s="39"/>
      <c r="W165" s="39"/>
      <c r="X165" s="39"/>
    </row>
    <row r="166" spans="1:24" ht="15.75" customHeight="1" x14ac:dyDescent="0.25">
      <c r="A166" s="49">
        <v>165</v>
      </c>
      <c r="B166" s="56" t="s">
        <v>166</v>
      </c>
      <c r="C166" s="61" t="s">
        <v>220</v>
      </c>
      <c r="D166" s="53">
        <v>3</v>
      </c>
      <c r="E166" s="53">
        <v>4</v>
      </c>
      <c r="F166" s="53" t="s">
        <v>485</v>
      </c>
      <c r="G166" s="53" t="s">
        <v>366</v>
      </c>
      <c r="H166" s="78"/>
      <c r="I166" s="92"/>
      <c r="J166" s="49">
        <v>1</v>
      </c>
      <c r="K166" s="49">
        <v>1</v>
      </c>
      <c r="L166" s="69"/>
      <c r="M166" s="69"/>
      <c r="N166" s="69"/>
      <c r="O166" s="69"/>
      <c r="P166" s="69"/>
      <c r="Q166" s="66"/>
      <c r="R166" s="66"/>
      <c r="S166" s="66"/>
      <c r="T166" s="66"/>
      <c r="U166" s="35" t="s">
        <v>239</v>
      </c>
      <c r="V166" s="39"/>
      <c r="W166" s="39"/>
      <c r="X166" s="39"/>
    </row>
    <row r="167" spans="1:24" ht="15.75" customHeight="1" x14ac:dyDescent="0.25">
      <c r="A167" s="49">
        <v>166</v>
      </c>
      <c r="B167" s="56" t="s">
        <v>167</v>
      </c>
      <c r="C167" s="61" t="s">
        <v>220</v>
      </c>
      <c r="D167" s="53">
        <v>3</v>
      </c>
      <c r="E167" s="53">
        <v>4</v>
      </c>
      <c r="F167" s="53" t="s">
        <v>569</v>
      </c>
      <c r="G167" s="53" t="s">
        <v>564</v>
      </c>
      <c r="H167" s="78"/>
      <c r="I167" s="92">
        <v>2.17</v>
      </c>
      <c r="J167" s="49">
        <v>4</v>
      </c>
      <c r="K167" s="49">
        <v>0</v>
      </c>
      <c r="L167" s="69"/>
      <c r="M167" s="69"/>
      <c r="N167" s="69"/>
      <c r="O167" s="69"/>
      <c r="P167" s="69"/>
      <c r="Q167" s="66"/>
      <c r="R167" s="66"/>
      <c r="S167" s="66"/>
      <c r="T167" s="66"/>
      <c r="U167" s="35" t="s">
        <v>239</v>
      </c>
      <c r="V167" s="39"/>
      <c r="W167" s="39"/>
      <c r="X167" s="39"/>
    </row>
    <row r="168" spans="1:24" ht="15.75" customHeight="1" x14ac:dyDescent="0.25">
      <c r="A168" s="49">
        <v>167</v>
      </c>
      <c r="B168" s="56" t="s">
        <v>168</v>
      </c>
      <c r="C168" s="61" t="s">
        <v>220</v>
      </c>
      <c r="D168" s="53">
        <v>2</v>
      </c>
      <c r="E168" s="53">
        <v>2</v>
      </c>
      <c r="F168" s="53" t="s">
        <v>588</v>
      </c>
      <c r="G168" s="53" t="s">
        <v>585</v>
      </c>
      <c r="H168" s="78"/>
      <c r="I168" s="92">
        <v>5</v>
      </c>
      <c r="J168" s="49">
        <v>2</v>
      </c>
      <c r="K168" s="49">
        <v>1</v>
      </c>
      <c r="L168" s="69"/>
      <c r="M168" s="69"/>
      <c r="N168" s="69"/>
      <c r="O168" s="69"/>
      <c r="P168" s="69"/>
      <c r="Q168" s="66"/>
      <c r="R168" s="66"/>
      <c r="S168" s="66"/>
      <c r="T168" s="66"/>
      <c r="U168" s="35" t="s">
        <v>239</v>
      </c>
      <c r="V168" s="39"/>
      <c r="W168" s="39"/>
      <c r="X168" s="39"/>
    </row>
    <row r="169" spans="1:24" ht="15.75" customHeight="1" x14ac:dyDescent="0.25">
      <c r="A169" s="49">
        <v>168</v>
      </c>
      <c r="B169" s="56" t="s">
        <v>238</v>
      </c>
      <c r="C169" s="61" t="s">
        <v>220</v>
      </c>
      <c r="D169" s="53">
        <v>2</v>
      </c>
      <c r="E169" s="53">
        <v>3</v>
      </c>
      <c r="F169" s="53" t="s">
        <v>678</v>
      </c>
      <c r="G169" s="53" t="s">
        <v>677</v>
      </c>
      <c r="H169" s="78">
        <v>15.5</v>
      </c>
      <c r="I169" s="92">
        <v>4.21</v>
      </c>
      <c r="J169" s="49">
        <v>3</v>
      </c>
      <c r="K169" s="49">
        <v>0</v>
      </c>
      <c r="L169" s="69"/>
      <c r="M169" s="69"/>
      <c r="N169" s="69"/>
      <c r="O169" s="69"/>
      <c r="P169" s="69"/>
      <c r="Q169" s="66"/>
      <c r="R169" s="66"/>
      <c r="S169" s="66"/>
      <c r="T169" s="66"/>
      <c r="U169" s="35" t="s">
        <v>239</v>
      </c>
      <c r="V169" s="39"/>
      <c r="W169" s="39"/>
      <c r="X169" s="39"/>
    </row>
    <row r="170" spans="1:24" ht="15.75" customHeight="1" x14ac:dyDescent="0.25">
      <c r="A170" s="49">
        <v>169</v>
      </c>
      <c r="B170" s="56" t="s">
        <v>169</v>
      </c>
      <c r="C170" s="61" t="s">
        <v>220</v>
      </c>
      <c r="D170" s="53">
        <v>3</v>
      </c>
      <c r="E170" s="53">
        <v>4</v>
      </c>
      <c r="F170" s="53" t="s">
        <v>433</v>
      </c>
      <c r="G170" s="53" t="s">
        <v>348</v>
      </c>
      <c r="H170" s="78"/>
      <c r="I170" s="92">
        <v>3.61</v>
      </c>
      <c r="J170" s="49">
        <v>1</v>
      </c>
      <c r="K170" s="49">
        <v>1</v>
      </c>
      <c r="L170" s="69"/>
      <c r="M170" s="69"/>
      <c r="N170" s="69"/>
      <c r="O170" s="69"/>
      <c r="P170" s="69"/>
      <c r="Q170" s="66"/>
      <c r="R170" s="66"/>
      <c r="S170" s="66"/>
      <c r="T170" s="66"/>
      <c r="U170" s="35" t="s">
        <v>239</v>
      </c>
      <c r="V170" s="39"/>
      <c r="W170" s="39"/>
      <c r="X170" s="39"/>
    </row>
    <row r="171" spans="1:24" ht="15.75" customHeight="1" x14ac:dyDescent="0.25">
      <c r="A171" s="49">
        <v>170</v>
      </c>
      <c r="B171" s="56" t="s">
        <v>170</v>
      </c>
      <c r="C171" s="61" t="s">
        <v>220</v>
      </c>
      <c r="D171" s="53">
        <v>2</v>
      </c>
      <c r="E171" s="53">
        <v>3</v>
      </c>
      <c r="F171" s="53" t="s">
        <v>683</v>
      </c>
      <c r="G171" s="53" t="s">
        <v>684</v>
      </c>
      <c r="H171" s="78">
        <v>16</v>
      </c>
      <c r="I171" s="92">
        <v>4.4000000000000004</v>
      </c>
      <c r="J171" s="44">
        <v>1</v>
      </c>
      <c r="K171" s="44">
        <v>3</v>
      </c>
      <c r="L171" s="56"/>
      <c r="M171" s="56"/>
      <c r="N171" s="56"/>
      <c r="O171" s="56"/>
      <c r="P171" s="56"/>
      <c r="Q171" s="66"/>
      <c r="R171" s="66"/>
      <c r="S171" s="66"/>
      <c r="T171" s="66"/>
      <c r="U171" s="35" t="s">
        <v>239</v>
      </c>
      <c r="V171" s="39"/>
      <c r="W171" s="39"/>
      <c r="X171" s="39"/>
    </row>
    <row r="172" spans="1:24" ht="15.75" customHeight="1" x14ac:dyDescent="0.25">
      <c r="A172" s="49">
        <v>171</v>
      </c>
      <c r="B172" s="56" t="s">
        <v>171</v>
      </c>
      <c r="C172" s="61" t="s">
        <v>220</v>
      </c>
      <c r="D172" s="53">
        <v>5</v>
      </c>
      <c r="E172" s="53">
        <v>9</v>
      </c>
      <c r="F172" s="53" t="s">
        <v>465</v>
      </c>
      <c r="G172" s="53" t="s">
        <v>361</v>
      </c>
      <c r="H172" s="80"/>
      <c r="I172" s="92">
        <v>3.65</v>
      </c>
      <c r="J172" s="49">
        <v>1</v>
      </c>
      <c r="K172" s="49">
        <v>1</v>
      </c>
      <c r="L172" s="69"/>
      <c r="M172" s="69"/>
      <c r="N172" s="69"/>
      <c r="O172" s="69"/>
      <c r="P172" s="69"/>
      <c r="Q172" s="66"/>
      <c r="R172" s="66"/>
      <c r="S172" s="66"/>
      <c r="T172" s="66"/>
      <c r="U172" s="35" t="s">
        <v>239</v>
      </c>
      <c r="V172" s="39"/>
      <c r="W172" s="39"/>
      <c r="X172" s="39"/>
    </row>
    <row r="173" spans="1:24" ht="15.75" customHeight="1" x14ac:dyDescent="0.25">
      <c r="A173" s="49">
        <v>172</v>
      </c>
      <c r="B173" s="56" t="s">
        <v>163</v>
      </c>
      <c r="C173" s="61" t="s">
        <v>220</v>
      </c>
      <c r="D173" s="53">
        <v>1</v>
      </c>
      <c r="E173" s="53">
        <v>3</v>
      </c>
      <c r="F173" s="53" t="s">
        <v>695</v>
      </c>
      <c r="G173" s="53" t="s">
        <v>364</v>
      </c>
      <c r="H173" s="78"/>
      <c r="I173" s="92">
        <v>4.2</v>
      </c>
      <c r="J173" s="49">
        <v>1</v>
      </c>
      <c r="K173" s="49">
        <v>1</v>
      </c>
      <c r="L173" s="69"/>
      <c r="M173" s="69"/>
      <c r="N173" s="69"/>
      <c r="O173" s="69"/>
      <c r="P173" s="69"/>
      <c r="Q173" s="66"/>
      <c r="R173" s="66"/>
      <c r="S173" s="66"/>
      <c r="T173" s="66"/>
      <c r="U173" s="35" t="s">
        <v>239</v>
      </c>
      <c r="V173" s="39"/>
      <c r="W173" s="39"/>
      <c r="X173" s="39"/>
    </row>
    <row r="174" spans="1:24" ht="15.75" customHeight="1" x14ac:dyDescent="0.25">
      <c r="A174" s="49">
        <v>173</v>
      </c>
      <c r="B174" s="56" t="s">
        <v>172</v>
      </c>
      <c r="C174" s="61" t="s">
        <v>220</v>
      </c>
      <c r="D174" s="53">
        <v>1</v>
      </c>
      <c r="E174" s="53">
        <v>5</v>
      </c>
      <c r="F174" s="53" t="s">
        <v>676</v>
      </c>
      <c r="G174" s="53" t="s">
        <v>677</v>
      </c>
      <c r="H174" s="78">
        <v>15</v>
      </c>
      <c r="I174" s="92">
        <v>4.21</v>
      </c>
      <c r="J174" s="49">
        <v>1</v>
      </c>
      <c r="K174" s="49">
        <v>1</v>
      </c>
      <c r="L174" s="69"/>
      <c r="M174" s="69"/>
      <c r="N174" s="69"/>
      <c r="O174" s="69"/>
      <c r="P174" s="69"/>
      <c r="Q174" s="66"/>
      <c r="R174" s="66"/>
      <c r="S174" s="66"/>
      <c r="T174" s="66"/>
      <c r="U174" s="35" t="s">
        <v>239</v>
      </c>
      <c r="V174" s="39"/>
      <c r="W174" s="39"/>
      <c r="X174" s="39"/>
    </row>
    <row r="175" spans="1:24" ht="15.75" customHeight="1" x14ac:dyDescent="0.25">
      <c r="A175" s="49">
        <v>174</v>
      </c>
      <c r="B175" s="56" t="s">
        <v>258</v>
      </c>
      <c r="C175" s="61" t="s">
        <v>220</v>
      </c>
      <c r="D175" s="55">
        <v>3</v>
      </c>
      <c r="E175" s="55">
        <v>6</v>
      </c>
      <c r="F175" s="55" t="s">
        <v>440</v>
      </c>
      <c r="G175" s="55" t="s">
        <v>441</v>
      </c>
      <c r="H175" s="78">
        <v>16</v>
      </c>
      <c r="I175" s="92">
        <v>4.5</v>
      </c>
      <c r="J175" s="49">
        <v>2</v>
      </c>
      <c r="K175" s="49">
        <v>1</v>
      </c>
      <c r="L175" s="69"/>
      <c r="M175" s="69"/>
      <c r="N175" s="69"/>
      <c r="O175" s="69"/>
      <c r="P175" s="69"/>
      <c r="Q175" s="66"/>
      <c r="R175" s="66"/>
      <c r="S175" s="66"/>
      <c r="T175" s="66"/>
      <c r="U175" s="35" t="s">
        <v>239</v>
      </c>
      <c r="V175" s="39"/>
      <c r="W175" s="39"/>
      <c r="X175" s="39"/>
    </row>
    <row r="176" spans="1:24" ht="15.75" customHeight="1" x14ac:dyDescent="0.25">
      <c r="A176" s="49">
        <v>175</v>
      </c>
      <c r="B176" s="56" t="s">
        <v>263</v>
      </c>
      <c r="C176" s="61" t="s">
        <v>220</v>
      </c>
      <c r="D176" s="55">
        <v>3</v>
      </c>
      <c r="E176" s="55">
        <v>8</v>
      </c>
      <c r="F176" s="55" t="s">
        <v>446</v>
      </c>
      <c r="G176" s="55" t="s">
        <v>352</v>
      </c>
      <c r="H176" s="78"/>
      <c r="I176" s="92">
        <v>4.6900000000000004</v>
      </c>
      <c r="J176" s="50"/>
      <c r="K176" s="50"/>
      <c r="L176" s="56"/>
      <c r="M176" s="56"/>
      <c r="N176" s="56"/>
      <c r="O176" s="56"/>
      <c r="P176" s="56"/>
      <c r="Q176" s="66"/>
      <c r="R176" s="66"/>
      <c r="S176" s="66"/>
      <c r="T176" s="66"/>
      <c r="U176" s="35" t="s">
        <v>239</v>
      </c>
      <c r="V176" s="39"/>
      <c r="W176" s="39"/>
      <c r="X176" s="39"/>
    </row>
    <row r="177" spans="1:24" ht="15.75" customHeight="1" x14ac:dyDescent="0.25">
      <c r="A177" s="49">
        <v>176</v>
      </c>
      <c r="B177" s="56" t="s">
        <v>300</v>
      </c>
      <c r="C177" s="61" t="s">
        <v>220</v>
      </c>
      <c r="D177" s="55">
        <v>3</v>
      </c>
      <c r="E177" s="55">
        <v>4</v>
      </c>
      <c r="F177" s="55" t="s">
        <v>461</v>
      </c>
      <c r="G177" s="55" t="s">
        <v>360</v>
      </c>
      <c r="H177" s="78"/>
      <c r="I177" s="92">
        <v>5</v>
      </c>
      <c r="J177" s="49">
        <v>2</v>
      </c>
      <c r="K177" s="49">
        <v>1</v>
      </c>
      <c r="L177" s="56"/>
      <c r="M177" s="56"/>
      <c r="N177" s="56"/>
      <c r="O177" s="56"/>
      <c r="P177" s="56"/>
      <c r="Q177" s="66"/>
      <c r="R177" s="66"/>
      <c r="S177" s="66"/>
      <c r="T177" s="66"/>
      <c r="U177" s="35" t="s">
        <v>239</v>
      </c>
      <c r="V177" s="39"/>
      <c r="W177" s="39"/>
      <c r="X177" s="39"/>
    </row>
    <row r="178" spans="1:24" ht="15.75" customHeight="1" x14ac:dyDescent="0.25">
      <c r="A178" s="49">
        <v>177</v>
      </c>
      <c r="B178" s="56" t="s">
        <v>301</v>
      </c>
      <c r="C178" s="61" t="s">
        <v>220</v>
      </c>
      <c r="D178" s="55">
        <v>2</v>
      </c>
      <c r="E178" s="55">
        <v>5</v>
      </c>
      <c r="F178" s="55" t="s">
        <v>449</v>
      </c>
      <c r="G178" s="55" t="s">
        <v>353</v>
      </c>
      <c r="H178" s="78"/>
      <c r="I178" s="62">
        <v>4.58</v>
      </c>
      <c r="J178" s="50"/>
      <c r="K178" s="50"/>
      <c r="L178" s="56"/>
      <c r="M178" s="56"/>
      <c r="N178" s="56"/>
      <c r="O178" s="56"/>
      <c r="P178" s="56"/>
      <c r="Q178" s="66"/>
      <c r="R178" s="66"/>
      <c r="S178" s="66"/>
      <c r="T178" s="66"/>
      <c r="U178" s="35" t="s">
        <v>239</v>
      </c>
      <c r="V178" s="39"/>
      <c r="W178" s="39"/>
      <c r="X178" s="39"/>
    </row>
    <row r="179" spans="1:24" ht="15.75" customHeight="1" x14ac:dyDescent="0.25">
      <c r="A179" s="49">
        <v>178</v>
      </c>
      <c r="B179" s="56" t="s">
        <v>377</v>
      </c>
      <c r="C179" s="61" t="s">
        <v>220</v>
      </c>
      <c r="D179" s="55">
        <v>1</v>
      </c>
      <c r="E179" s="55">
        <v>2</v>
      </c>
      <c r="F179" s="55" t="s">
        <v>698</v>
      </c>
      <c r="G179" s="55" t="s">
        <v>556</v>
      </c>
      <c r="H179" s="78"/>
      <c r="I179" s="92">
        <v>4.76</v>
      </c>
      <c r="J179" s="49">
        <v>3</v>
      </c>
      <c r="K179" s="49">
        <v>1</v>
      </c>
      <c r="L179" s="56"/>
      <c r="M179" s="69"/>
      <c r="N179" s="69"/>
      <c r="O179" s="56"/>
      <c r="P179" s="56"/>
      <c r="Q179" s="66"/>
      <c r="R179" s="66"/>
      <c r="S179" s="66"/>
      <c r="T179" s="66"/>
      <c r="U179" s="35" t="s">
        <v>239</v>
      </c>
      <c r="V179" s="39"/>
      <c r="W179" s="39"/>
      <c r="X179" s="39"/>
    </row>
    <row r="180" spans="1:24" ht="15.75" customHeight="1" x14ac:dyDescent="0.25">
      <c r="A180" s="49">
        <v>179</v>
      </c>
      <c r="B180" s="56" t="s">
        <v>766</v>
      </c>
      <c r="C180" s="61" t="s">
        <v>220</v>
      </c>
      <c r="D180" s="55">
        <v>6</v>
      </c>
      <c r="E180" s="55">
        <v>9</v>
      </c>
      <c r="F180" s="55" t="s">
        <v>767</v>
      </c>
      <c r="G180" s="55" t="s">
        <v>494</v>
      </c>
      <c r="H180" s="78">
        <v>16</v>
      </c>
      <c r="I180" s="92">
        <v>4.21</v>
      </c>
      <c r="J180" s="49">
        <v>2</v>
      </c>
      <c r="K180" s="49">
        <v>1</v>
      </c>
      <c r="L180" s="56"/>
      <c r="M180" s="69"/>
      <c r="N180" s="69"/>
      <c r="O180" s="56"/>
      <c r="P180" s="56"/>
      <c r="Q180" s="66"/>
      <c r="R180" s="66"/>
      <c r="S180" s="66"/>
      <c r="T180" s="66"/>
      <c r="U180" s="35"/>
      <c r="V180" s="39"/>
      <c r="W180" s="39"/>
      <c r="X180" s="39"/>
    </row>
    <row r="181" spans="1:24" ht="15.75" customHeight="1" x14ac:dyDescent="0.25">
      <c r="A181" s="49">
        <v>180</v>
      </c>
      <c r="B181" s="56" t="s">
        <v>307</v>
      </c>
      <c r="C181" s="61" t="s">
        <v>220</v>
      </c>
      <c r="D181" s="55">
        <v>4</v>
      </c>
      <c r="E181" s="55">
        <v>7</v>
      </c>
      <c r="F181" s="55" t="s">
        <v>768</v>
      </c>
      <c r="G181" s="55" t="s">
        <v>514</v>
      </c>
      <c r="H181" s="78"/>
      <c r="I181" s="92">
        <v>4.95</v>
      </c>
      <c r="J181" s="49"/>
      <c r="K181" s="49"/>
      <c r="L181" s="56"/>
      <c r="M181" s="69"/>
      <c r="N181" s="69"/>
      <c r="O181" s="56"/>
      <c r="P181" s="56"/>
      <c r="Q181" s="66"/>
      <c r="R181" s="66"/>
      <c r="S181" s="66"/>
      <c r="T181" s="66"/>
      <c r="U181" s="35"/>
      <c r="V181" s="39"/>
      <c r="W181" s="39"/>
      <c r="X181" s="39"/>
    </row>
    <row r="182" spans="1:24" ht="15.75" customHeight="1" x14ac:dyDescent="0.25">
      <c r="A182" s="49">
        <v>181</v>
      </c>
      <c r="B182" s="56" t="s">
        <v>769</v>
      </c>
      <c r="C182" s="61" t="s">
        <v>220</v>
      </c>
      <c r="D182" s="55">
        <v>4</v>
      </c>
      <c r="E182" s="55">
        <v>8</v>
      </c>
      <c r="F182" s="55" t="s">
        <v>770</v>
      </c>
      <c r="G182" s="55" t="s">
        <v>552</v>
      </c>
      <c r="H182" s="78"/>
      <c r="I182" s="92">
        <v>4.13</v>
      </c>
      <c r="J182" s="49">
        <v>2</v>
      </c>
      <c r="K182" s="49">
        <v>1</v>
      </c>
      <c r="L182" s="56"/>
      <c r="M182" s="69"/>
      <c r="N182" s="69"/>
      <c r="O182" s="56"/>
      <c r="P182" s="56"/>
      <c r="Q182" s="66"/>
      <c r="R182" s="66"/>
      <c r="S182" s="66"/>
      <c r="T182" s="66"/>
      <c r="U182" s="35"/>
      <c r="V182" s="39"/>
      <c r="W182" s="39"/>
      <c r="X182" s="39"/>
    </row>
    <row r="183" spans="1:24" ht="15.75" customHeight="1" x14ac:dyDescent="0.25">
      <c r="A183" s="49">
        <v>182</v>
      </c>
      <c r="B183" s="56" t="s">
        <v>771</v>
      </c>
      <c r="C183" s="61" t="s">
        <v>220</v>
      </c>
      <c r="D183" s="55">
        <v>3</v>
      </c>
      <c r="E183" s="55">
        <v>6</v>
      </c>
      <c r="F183" s="55" t="s">
        <v>772</v>
      </c>
      <c r="G183" s="55" t="s">
        <v>575</v>
      </c>
      <c r="H183" s="78">
        <v>16</v>
      </c>
      <c r="I183" s="92">
        <v>5</v>
      </c>
      <c r="J183" s="49"/>
      <c r="K183" s="49"/>
      <c r="L183" s="56"/>
      <c r="M183" s="69"/>
      <c r="N183" s="69"/>
      <c r="O183" s="56"/>
      <c r="P183" s="56"/>
      <c r="Q183" s="66"/>
      <c r="R183" s="66"/>
      <c r="S183" s="66"/>
      <c r="T183" s="66"/>
      <c r="U183" s="35"/>
      <c r="V183" s="39"/>
      <c r="W183" s="39"/>
      <c r="X183" s="39"/>
    </row>
    <row r="184" spans="1:24" ht="15.75" customHeight="1" x14ac:dyDescent="0.25">
      <c r="A184" s="49">
        <v>183</v>
      </c>
      <c r="B184" s="56" t="s">
        <v>247</v>
      </c>
      <c r="C184" s="61" t="s">
        <v>7</v>
      </c>
      <c r="D184" s="55">
        <v>2</v>
      </c>
      <c r="E184" s="55">
        <v>6</v>
      </c>
      <c r="F184" s="55" t="s">
        <v>468</v>
      </c>
      <c r="G184" s="55" t="s">
        <v>363</v>
      </c>
      <c r="H184" s="78">
        <v>15</v>
      </c>
      <c r="I184" s="92">
        <v>4</v>
      </c>
      <c r="J184" s="49">
        <v>3</v>
      </c>
      <c r="K184" s="49">
        <v>5</v>
      </c>
      <c r="L184" s="56"/>
      <c r="M184" s="69"/>
      <c r="N184" s="69"/>
      <c r="O184" s="56"/>
      <c r="P184" s="69"/>
      <c r="Q184" s="66"/>
      <c r="R184" s="66"/>
      <c r="S184" s="66"/>
      <c r="T184" s="66"/>
      <c r="U184" s="35" t="s">
        <v>239</v>
      </c>
      <c r="V184" s="39"/>
      <c r="W184" s="39"/>
      <c r="X184" s="39"/>
    </row>
    <row r="185" spans="1:24" ht="15.75" customHeight="1" x14ac:dyDescent="0.25">
      <c r="A185" s="49">
        <v>184</v>
      </c>
      <c r="B185" s="56" t="s">
        <v>175</v>
      </c>
      <c r="C185" s="61" t="s">
        <v>7</v>
      </c>
      <c r="D185" s="55">
        <v>2</v>
      </c>
      <c r="E185" s="55">
        <v>4</v>
      </c>
      <c r="F185" s="55" t="s">
        <v>626</v>
      </c>
      <c r="G185" s="55" t="s">
        <v>625</v>
      </c>
      <c r="H185" s="78"/>
      <c r="I185" s="92">
        <v>4.59</v>
      </c>
      <c r="J185" s="49">
        <v>2</v>
      </c>
      <c r="K185" s="49">
        <v>1</v>
      </c>
      <c r="L185" s="56"/>
      <c r="M185" s="69"/>
      <c r="N185" s="69"/>
      <c r="O185" s="56"/>
      <c r="P185" s="69"/>
      <c r="Q185" s="66"/>
      <c r="R185" s="66"/>
      <c r="S185" s="66"/>
      <c r="T185" s="66"/>
      <c r="U185" s="35" t="s">
        <v>239</v>
      </c>
      <c r="V185" s="39"/>
      <c r="W185" s="39"/>
      <c r="X185" s="39"/>
    </row>
    <row r="186" spans="1:24" ht="15.75" customHeight="1" x14ac:dyDescent="0.25">
      <c r="A186" s="49">
        <v>185</v>
      </c>
      <c r="B186" s="56" t="s">
        <v>173</v>
      </c>
      <c r="C186" s="61" t="s">
        <v>7</v>
      </c>
      <c r="D186" s="55">
        <v>2</v>
      </c>
      <c r="E186" s="55">
        <v>4</v>
      </c>
      <c r="F186" s="55" t="s">
        <v>442</v>
      </c>
      <c r="G186" s="55" t="s">
        <v>441</v>
      </c>
      <c r="H186" s="78"/>
      <c r="I186" s="92">
        <v>2.74</v>
      </c>
      <c r="J186" s="49">
        <v>6</v>
      </c>
      <c r="K186" s="49">
        <v>1</v>
      </c>
      <c r="L186" s="69"/>
      <c r="M186" s="69"/>
      <c r="N186" s="69"/>
      <c r="O186" s="69"/>
      <c r="P186" s="69"/>
      <c r="Q186" s="66"/>
      <c r="R186" s="66"/>
      <c r="S186" s="66"/>
      <c r="T186" s="66"/>
      <c r="U186" s="35" t="s">
        <v>239</v>
      </c>
      <c r="V186" s="39"/>
      <c r="W186" s="39"/>
      <c r="X186" s="39"/>
    </row>
    <row r="187" spans="1:24" ht="15.75" customHeight="1" x14ac:dyDescent="0.25">
      <c r="A187" s="49">
        <v>186</v>
      </c>
      <c r="B187" s="56" t="s">
        <v>176</v>
      </c>
      <c r="C187" s="61" t="s">
        <v>7</v>
      </c>
      <c r="D187" s="55">
        <v>2</v>
      </c>
      <c r="E187" s="55">
        <v>3</v>
      </c>
      <c r="F187" s="55" t="s">
        <v>651</v>
      </c>
      <c r="G187" s="55" t="s">
        <v>652</v>
      </c>
      <c r="H187" s="78"/>
      <c r="I187" s="92">
        <v>4.7</v>
      </c>
      <c r="J187" s="49">
        <v>2</v>
      </c>
      <c r="K187" s="49">
        <v>1</v>
      </c>
      <c r="L187" s="69"/>
      <c r="M187" s="69"/>
      <c r="N187" s="69"/>
      <c r="O187" s="69"/>
      <c r="P187" s="69"/>
      <c r="Q187" s="66"/>
      <c r="R187" s="66"/>
      <c r="S187" s="66"/>
      <c r="T187" s="66"/>
      <c r="U187" s="35" t="s">
        <v>239</v>
      </c>
      <c r="V187" s="39"/>
      <c r="W187" s="39"/>
      <c r="X187" s="39"/>
    </row>
    <row r="188" spans="1:24" ht="15.75" customHeight="1" x14ac:dyDescent="0.25">
      <c r="A188" s="49">
        <v>187</v>
      </c>
      <c r="B188" s="56" t="s">
        <v>189</v>
      </c>
      <c r="C188" s="61" t="s">
        <v>7</v>
      </c>
      <c r="D188" s="55">
        <v>2</v>
      </c>
      <c r="E188" s="55">
        <v>4</v>
      </c>
      <c r="F188" s="55" t="s">
        <v>466</v>
      </c>
      <c r="G188" s="55" t="s">
        <v>467</v>
      </c>
      <c r="H188" s="78"/>
      <c r="I188" s="92">
        <v>3.97</v>
      </c>
      <c r="J188" s="49"/>
      <c r="K188" s="49"/>
      <c r="L188" s="56"/>
      <c r="M188" s="56"/>
      <c r="N188" s="56"/>
      <c r="O188" s="56"/>
      <c r="P188" s="56"/>
      <c r="Q188" s="66"/>
      <c r="R188" s="66"/>
      <c r="S188" s="66"/>
      <c r="T188" s="66"/>
      <c r="U188" s="35" t="s">
        <v>239</v>
      </c>
      <c r="V188" s="39"/>
      <c r="W188" s="39"/>
      <c r="X188" s="39"/>
    </row>
    <row r="189" spans="1:24" ht="15.75" customHeight="1" x14ac:dyDescent="0.25">
      <c r="A189" s="49">
        <v>188</v>
      </c>
      <c r="B189" s="56" t="s">
        <v>174</v>
      </c>
      <c r="C189" s="61" t="s">
        <v>7</v>
      </c>
      <c r="D189" s="55">
        <v>1</v>
      </c>
      <c r="E189" s="55">
        <v>3</v>
      </c>
      <c r="F189" s="55" t="s">
        <v>665</v>
      </c>
      <c r="G189" s="55" t="s">
        <v>664</v>
      </c>
      <c r="H189" s="78">
        <v>16</v>
      </c>
      <c r="I189" s="92">
        <v>5</v>
      </c>
      <c r="J189" s="49"/>
      <c r="K189" s="49"/>
      <c r="L189" s="69"/>
      <c r="M189" s="69"/>
      <c r="N189" s="69"/>
      <c r="O189" s="69"/>
      <c r="P189" s="69"/>
      <c r="Q189" s="66"/>
      <c r="R189" s="66"/>
      <c r="S189" s="66"/>
      <c r="T189" s="66"/>
      <c r="U189" s="35" t="s">
        <v>239</v>
      </c>
      <c r="V189" s="39"/>
      <c r="W189" s="39"/>
      <c r="X189" s="39"/>
    </row>
    <row r="190" spans="1:24" ht="15.75" customHeight="1" x14ac:dyDescent="0.25">
      <c r="A190" s="49">
        <v>189</v>
      </c>
      <c r="B190" s="56" t="s">
        <v>177</v>
      </c>
      <c r="C190" s="61" t="s">
        <v>7</v>
      </c>
      <c r="D190" s="55">
        <v>3</v>
      </c>
      <c r="E190" s="55">
        <v>9</v>
      </c>
      <c r="F190" s="55" t="s">
        <v>473</v>
      </c>
      <c r="G190" s="55" t="s">
        <v>364</v>
      </c>
      <c r="H190" s="78">
        <v>16</v>
      </c>
      <c r="I190" s="92">
        <v>2.5</v>
      </c>
      <c r="J190" s="49">
        <v>2</v>
      </c>
      <c r="K190" s="49">
        <v>0</v>
      </c>
      <c r="L190" s="69"/>
      <c r="M190" s="69"/>
      <c r="N190" s="69"/>
      <c r="O190" s="69"/>
      <c r="P190" s="69"/>
      <c r="Q190" s="66"/>
      <c r="R190" s="66"/>
      <c r="S190" s="66"/>
      <c r="T190" s="66"/>
      <c r="U190" s="35" t="s">
        <v>239</v>
      </c>
      <c r="V190" s="39"/>
      <c r="W190" s="39"/>
      <c r="X190" s="39"/>
    </row>
    <row r="191" spans="1:24" ht="15.75" customHeight="1" x14ac:dyDescent="0.25">
      <c r="A191" s="49">
        <v>190</v>
      </c>
      <c r="B191" s="56" t="s">
        <v>240</v>
      </c>
      <c r="C191" s="61" t="s">
        <v>7</v>
      </c>
      <c r="D191" s="55">
        <v>1</v>
      </c>
      <c r="E191" s="55">
        <v>3</v>
      </c>
      <c r="F191" s="55" t="s">
        <v>618</v>
      </c>
      <c r="G191" s="55" t="s">
        <v>617</v>
      </c>
      <c r="H191" s="78"/>
      <c r="I191" s="92">
        <v>3.72</v>
      </c>
      <c r="J191" s="49">
        <v>1</v>
      </c>
      <c r="K191" s="49">
        <v>1</v>
      </c>
      <c r="L191" s="69"/>
      <c r="M191" s="69"/>
      <c r="N191" s="69"/>
      <c r="O191" s="69"/>
      <c r="P191" s="69"/>
      <c r="Q191" s="66"/>
      <c r="R191" s="66"/>
      <c r="S191" s="66"/>
      <c r="T191" s="66"/>
      <c r="U191" s="35" t="s">
        <v>239</v>
      </c>
      <c r="V191" s="39"/>
      <c r="W191" s="39"/>
      <c r="X191" s="39"/>
    </row>
    <row r="192" spans="1:24" ht="15.75" customHeight="1" x14ac:dyDescent="0.25">
      <c r="A192" s="49">
        <v>191</v>
      </c>
      <c r="B192" s="56" t="s">
        <v>257</v>
      </c>
      <c r="C192" s="61" t="s">
        <v>7</v>
      </c>
      <c r="D192" s="55">
        <v>4</v>
      </c>
      <c r="E192" s="55">
        <v>7</v>
      </c>
      <c r="F192" s="55" t="s">
        <v>474</v>
      </c>
      <c r="G192" s="55" t="s">
        <v>364</v>
      </c>
      <c r="H192" s="78"/>
      <c r="I192" s="92">
        <v>5</v>
      </c>
      <c r="J192" s="44">
        <v>1</v>
      </c>
      <c r="K192" s="44">
        <v>2</v>
      </c>
      <c r="L192" s="56"/>
      <c r="M192" s="56"/>
      <c r="N192" s="56"/>
      <c r="O192" s="56"/>
      <c r="P192" s="56"/>
      <c r="Q192" s="66"/>
      <c r="R192" s="66"/>
      <c r="S192" s="66"/>
      <c r="T192" s="66"/>
      <c r="U192" s="35" t="s">
        <v>239</v>
      </c>
      <c r="V192" s="39"/>
      <c r="W192" s="39"/>
      <c r="X192" s="39"/>
    </row>
    <row r="193" spans="1:24" ht="15.75" customHeight="1" x14ac:dyDescent="0.25">
      <c r="A193" s="49">
        <v>192</v>
      </c>
      <c r="B193" s="56" t="s">
        <v>270</v>
      </c>
      <c r="C193" s="61" t="s">
        <v>7</v>
      </c>
      <c r="D193" s="55">
        <v>2</v>
      </c>
      <c r="E193" s="55">
        <v>2</v>
      </c>
      <c r="F193" s="55" t="s">
        <v>692</v>
      </c>
      <c r="G193" s="55" t="s">
        <v>693</v>
      </c>
      <c r="H193" s="78"/>
      <c r="I193" s="92">
        <v>1.99</v>
      </c>
      <c r="J193" s="49"/>
      <c r="K193" s="49"/>
      <c r="L193" s="69"/>
      <c r="M193" s="69"/>
      <c r="N193" s="69"/>
      <c r="O193" s="69"/>
      <c r="P193" s="69"/>
      <c r="Q193" s="66"/>
      <c r="R193" s="66"/>
      <c r="S193" s="66"/>
      <c r="T193" s="66"/>
      <c r="U193" s="35" t="s">
        <v>239</v>
      </c>
      <c r="V193" s="39"/>
      <c r="W193" s="39"/>
      <c r="X193" s="39"/>
    </row>
    <row r="194" spans="1:24" ht="15.75" customHeight="1" x14ac:dyDescent="0.25">
      <c r="A194" s="49">
        <v>193</v>
      </c>
      <c r="B194" s="56" t="s">
        <v>271</v>
      </c>
      <c r="C194" s="61" t="s">
        <v>7</v>
      </c>
      <c r="D194" s="55">
        <v>1</v>
      </c>
      <c r="E194" s="55">
        <v>3</v>
      </c>
      <c r="F194" s="55" t="s">
        <v>685</v>
      </c>
      <c r="G194" s="55" t="s">
        <v>686</v>
      </c>
      <c r="H194" s="78"/>
      <c r="I194" s="92">
        <v>5</v>
      </c>
      <c r="J194" s="49">
        <v>1</v>
      </c>
      <c r="K194" s="49">
        <v>2</v>
      </c>
      <c r="L194" s="69"/>
      <c r="M194" s="69"/>
      <c r="N194" s="69"/>
      <c r="O194" s="69"/>
      <c r="P194" s="69"/>
      <c r="Q194" s="66"/>
      <c r="R194" s="66"/>
      <c r="S194" s="66"/>
      <c r="T194" s="66"/>
      <c r="U194" s="35" t="s">
        <v>239</v>
      </c>
      <c r="V194" s="39"/>
      <c r="W194" s="39"/>
      <c r="X194" s="39"/>
    </row>
    <row r="195" spans="1:24" ht="15.75" customHeight="1" x14ac:dyDescent="0.25">
      <c r="A195" s="49">
        <v>194</v>
      </c>
      <c r="B195" s="56" t="s">
        <v>275</v>
      </c>
      <c r="C195" s="61" t="s">
        <v>7</v>
      </c>
      <c r="D195" s="55">
        <v>2</v>
      </c>
      <c r="E195" s="55">
        <v>3</v>
      </c>
      <c r="F195" s="55" t="s">
        <v>555</v>
      </c>
      <c r="G195" s="55" t="s">
        <v>556</v>
      </c>
      <c r="H195" s="78">
        <v>9.33</v>
      </c>
      <c r="I195" s="92">
        <v>1.5</v>
      </c>
      <c r="J195" s="49">
        <v>1</v>
      </c>
      <c r="K195" s="49">
        <v>1</v>
      </c>
      <c r="L195" s="69"/>
      <c r="M195" s="69"/>
      <c r="N195" s="69"/>
      <c r="O195" s="69"/>
      <c r="P195" s="69"/>
      <c r="Q195" s="66"/>
      <c r="R195" s="66"/>
      <c r="S195" s="66"/>
      <c r="T195" s="66"/>
      <c r="U195" s="35" t="s">
        <v>239</v>
      </c>
      <c r="V195" s="39"/>
      <c r="W195" s="39"/>
      <c r="X195" s="39"/>
    </row>
    <row r="196" spans="1:24" ht="15.75" customHeight="1" x14ac:dyDescent="0.25">
      <c r="A196" s="49">
        <v>195</v>
      </c>
      <c r="B196" s="56" t="s">
        <v>282</v>
      </c>
      <c r="C196" s="61" t="s">
        <v>7</v>
      </c>
      <c r="D196" s="55">
        <v>4</v>
      </c>
      <c r="E196" s="55">
        <v>8</v>
      </c>
      <c r="F196" s="55" t="s">
        <v>460</v>
      </c>
      <c r="G196" s="55" t="s">
        <v>360</v>
      </c>
      <c r="H196" s="78"/>
      <c r="I196" s="92">
        <v>5</v>
      </c>
      <c r="J196" s="49">
        <v>2</v>
      </c>
      <c r="K196" s="49">
        <v>1</v>
      </c>
      <c r="L196" s="69"/>
      <c r="M196" s="69"/>
      <c r="N196" s="69"/>
      <c r="O196" s="69"/>
      <c r="P196" s="69"/>
      <c r="Q196" s="66"/>
      <c r="R196" s="66"/>
      <c r="S196" s="66"/>
      <c r="T196" s="66"/>
      <c r="U196" s="35" t="s">
        <v>239</v>
      </c>
      <c r="V196" s="39"/>
      <c r="W196" s="39"/>
      <c r="X196" s="39"/>
    </row>
    <row r="197" spans="1:24" ht="15.75" customHeight="1" x14ac:dyDescent="0.25">
      <c r="A197" s="49">
        <v>196</v>
      </c>
      <c r="B197" s="56" t="s">
        <v>310</v>
      </c>
      <c r="C197" s="61" t="s">
        <v>7</v>
      </c>
      <c r="D197" s="55">
        <v>3</v>
      </c>
      <c r="E197" s="55">
        <v>7</v>
      </c>
      <c r="F197" s="55" t="s">
        <v>539</v>
      </c>
      <c r="G197" s="55" t="s">
        <v>540</v>
      </c>
      <c r="H197" s="78">
        <v>16</v>
      </c>
      <c r="I197" s="92">
        <v>1.64</v>
      </c>
      <c r="J197" s="49">
        <v>1</v>
      </c>
      <c r="K197" s="49">
        <v>1</v>
      </c>
      <c r="L197" s="69"/>
      <c r="M197" s="69"/>
      <c r="N197" s="69"/>
      <c r="O197" s="69"/>
      <c r="P197" s="69"/>
      <c r="Q197" s="66"/>
      <c r="R197" s="66"/>
      <c r="S197" s="66"/>
      <c r="T197" s="66"/>
      <c r="U197" s="35" t="s">
        <v>239</v>
      </c>
      <c r="V197" s="39"/>
      <c r="W197" s="39"/>
      <c r="X197" s="39"/>
    </row>
    <row r="198" spans="1:24" ht="15.75" customHeight="1" x14ac:dyDescent="0.25">
      <c r="A198" s="49">
        <v>197</v>
      </c>
      <c r="B198" s="56" t="s">
        <v>178</v>
      </c>
      <c r="C198" s="61" t="s">
        <v>221</v>
      </c>
      <c r="D198" s="55">
        <v>3</v>
      </c>
      <c r="E198" s="55">
        <v>5</v>
      </c>
      <c r="F198" s="55" t="s">
        <v>624</v>
      </c>
      <c r="G198" s="55" t="s">
        <v>625</v>
      </c>
      <c r="H198" s="78">
        <v>16</v>
      </c>
      <c r="I198" s="92">
        <v>4.9000000000000004</v>
      </c>
      <c r="J198" s="49"/>
      <c r="K198" s="49"/>
      <c r="L198" s="69"/>
      <c r="M198" s="69"/>
      <c r="N198" s="69"/>
      <c r="O198" s="69"/>
      <c r="P198" s="69"/>
      <c r="Q198" s="66"/>
      <c r="R198" s="66"/>
      <c r="S198" s="66"/>
      <c r="T198" s="66"/>
      <c r="U198" s="35" t="s">
        <v>239</v>
      </c>
      <c r="V198" s="39"/>
      <c r="W198" s="39"/>
      <c r="X198" s="39"/>
    </row>
    <row r="199" spans="1:24" ht="15.75" customHeight="1" x14ac:dyDescent="0.25">
      <c r="A199" s="49">
        <v>198</v>
      </c>
      <c r="B199" s="56" t="s">
        <v>246</v>
      </c>
      <c r="C199" s="61" t="s">
        <v>221</v>
      </c>
      <c r="D199" s="55">
        <v>6</v>
      </c>
      <c r="E199" s="55">
        <v>12</v>
      </c>
      <c r="F199" s="55" t="s">
        <v>622</v>
      </c>
      <c r="G199" s="55" t="s">
        <v>617</v>
      </c>
      <c r="H199" s="78">
        <v>11</v>
      </c>
      <c r="I199" s="92">
        <v>3.14</v>
      </c>
      <c r="J199" s="49">
        <v>2</v>
      </c>
      <c r="K199" s="49">
        <v>3</v>
      </c>
      <c r="L199" s="66"/>
      <c r="M199" s="66"/>
      <c r="N199" s="66"/>
      <c r="O199" s="66"/>
      <c r="P199" s="66"/>
      <c r="Q199" s="66"/>
      <c r="R199" s="66"/>
      <c r="S199" s="66"/>
      <c r="T199" s="66"/>
      <c r="U199" s="35" t="s">
        <v>239</v>
      </c>
      <c r="V199" s="39"/>
      <c r="W199" s="39"/>
      <c r="X199" s="39"/>
    </row>
    <row r="200" spans="1:24" ht="15.75" customHeight="1" x14ac:dyDescent="0.25">
      <c r="A200" s="49">
        <v>199</v>
      </c>
      <c r="B200" s="56" t="s">
        <v>245</v>
      </c>
      <c r="C200" s="61" t="s">
        <v>221</v>
      </c>
      <c r="D200" s="55">
        <v>7</v>
      </c>
      <c r="E200" s="55">
        <v>13</v>
      </c>
      <c r="F200" s="55" t="s">
        <v>598</v>
      </c>
      <c r="G200" s="55" t="s">
        <v>599</v>
      </c>
      <c r="H200" s="78"/>
      <c r="I200" s="92">
        <v>4.37</v>
      </c>
      <c r="J200" s="49">
        <v>7</v>
      </c>
      <c r="K200" s="49">
        <v>2</v>
      </c>
      <c r="L200" s="69"/>
      <c r="M200" s="69"/>
      <c r="N200" s="69"/>
      <c r="O200" s="69"/>
      <c r="P200" s="69"/>
      <c r="Q200" s="66"/>
      <c r="R200" s="66"/>
      <c r="S200" s="66"/>
      <c r="T200" s="66"/>
      <c r="U200" s="35" t="s">
        <v>239</v>
      </c>
      <c r="V200" s="39"/>
      <c r="W200" s="39"/>
      <c r="X200" s="39"/>
    </row>
    <row r="201" spans="1:24" ht="15.75" customHeight="1" x14ac:dyDescent="0.25">
      <c r="A201" s="49">
        <v>200</v>
      </c>
      <c r="B201" s="56" t="s">
        <v>244</v>
      </c>
      <c r="C201" s="61" t="s">
        <v>221</v>
      </c>
      <c r="D201" s="55">
        <v>1</v>
      </c>
      <c r="E201" s="55">
        <v>4</v>
      </c>
      <c r="F201" s="55" t="s">
        <v>621</v>
      </c>
      <c r="G201" s="55" t="s">
        <v>617</v>
      </c>
      <c r="H201" s="78">
        <v>16</v>
      </c>
      <c r="I201" s="92">
        <v>4.4800000000000004</v>
      </c>
      <c r="J201" s="49"/>
      <c r="K201" s="49"/>
      <c r="L201" s="69"/>
      <c r="M201" s="69"/>
      <c r="N201" s="69"/>
      <c r="O201" s="69"/>
      <c r="P201" s="69"/>
      <c r="Q201" s="66"/>
      <c r="R201" s="66"/>
      <c r="S201" s="66"/>
      <c r="T201" s="66"/>
      <c r="U201" s="35" t="s">
        <v>239</v>
      </c>
      <c r="V201" s="39"/>
      <c r="W201" s="39"/>
      <c r="X201" s="39"/>
    </row>
    <row r="202" spans="1:24" ht="15.75" customHeight="1" x14ac:dyDescent="0.25">
      <c r="A202" s="49">
        <v>201</v>
      </c>
      <c r="B202" s="56" t="s">
        <v>183</v>
      </c>
      <c r="C202" s="61" t="s">
        <v>221</v>
      </c>
      <c r="D202" s="55">
        <v>4</v>
      </c>
      <c r="E202" s="55">
        <v>9</v>
      </c>
      <c r="F202" s="55" t="s">
        <v>462</v>
      </c>
      <c r="G202" s="55" t="s">
        <v>463</v>
      </c>
      <c r="H202" s="78">
        <v>16</v>
      </c>
      <c r="I202" s="92">
        <v>4.2300000000000004</v>
      </c>
      <c r="J202" s="49">
        <v>15</v>
      </c>
      <c r="K202" s="49">
        <v>2</v>
      </c>
      <c r="L202" s="69"/>
      <c r="M202" s="69"/>
      <c r="N202" s="69"/>
      <c r="O202" s="69"/>
      <c r="P202" s="69"/>
      <c r="Q202" s="66"/>
      <c r="R202" s="66"/>
      <c r="S202" s="66"/>
      <c r="T202" s="66"/>
      <c r="U202" s="35" t="s">
        <v>239</v>
      </c>
      <c r="V202" s="39"/>
      <c r="W202" s="39"/>
      <c r="X202" s="39"/>
    </row>
    <row r="203" spans="1:24" ht="15.75" customHeight="1" x14ac:dyDescent="0.25">
      <c r="A203" s="49">
        <v>202</v>
      </c>
      <c r="B203" s="56" t="s">
        <v>184</v>
      </c>
      <c r="C203" s="61" t="s">
        <v>221</v>
      </c>
      <c r="D203" s="55">
        <v>3</v>
      </c>
      <c r="E203" s="55">
        <v>10</v>
      </c>
      <c r="F203" s="55" t="s">
        <v>661</v>
      </c>
      <c r="G203" s="55" t="s">
        <v>662</v>
      </c>
      <c r="H203" s="78"/>
      <c r="I203" s="92">
        <v>4.92</v>
      </c>
      <c r="J203" s="49">
        <v>2</v>
      </c>
      <c r="K203" s="49">
        <v>1</v>
      </c>
      <c r="L203" s="56"/>
      <c r="M203" s="56"/>
      <c r="N203" s="56"/>
      <c r="O203" s="56"/>
      <c r="P203" s="56"/>
      <c r="Q203" s="66"/>
      <c r="R203" s="66"/>
      <c r="S203" s="66"/>
      <c r="T203" s="66"/>
      <c r="U203" s="35" t="s">
        <v>239</v>
      </c>
      <c r="V203" s="39"/>
      <c r="W203" s="39"/>
      <c r="X203" s="39"/>
    </row>
    <row r="204" spans="1:24" ht="15.75" customHeight="1" x14ac:dyDescent="0.25">
      <c r="A204" s="49">
        <v>203</v>
      </c>
      <c r="B204" s="56" t="s">
        <v>185</v>
      </c>
      <c r="C204" s="61" t="s">
        <v>221</v>
      </c>
      <c r="D204" s="55">
        <v>3</v>
      </c>
      <c r="E204" s="55">
        <v>8</v>
      </c>
      <c r="F204" s="55" t="s">
        <v>484</v>
      </c>
      <c r="G204" s="55" t="s">
        <v>365</v>
      </c>
      <c r="H204" s="78"/>
      <c r="I204" s="92">
        <v>4.5199999999999996</v>
      </c>
      <c r="J204" s="49">
        <v>2</v>
      </c>
      <c r="K204" s="49">
        <v>1</v>
      </c>
      <c r="L204" s="69"/>
      <c r="M204" s="69"/>
      <c r="N204" s="69"/>
      <c r="O204" s="69"/>
      <c r="P204" s="69"/>
      <c r="Q204" s="66"/>
      <c r="R204" s="66"/>
      <c r="S204" s="66"/>
      <c r="T204" s="66"/>
      <c r="U204" s="35" t="s">
        <v>239</v>
      </c>
      <c r="V204" s="39"/>
      <c r="W204" s="39"/>
      <c r="X204" s="39"/>
    </row>
    <row r="205" spans="1:24" ht="15.75" customHeight="1" x14ac:dyDescent="0.25">
      <c r="A205" s="49">
        <v>204</v>
      </c>
      <c r="B205" s="56" t="s">
        <v>186</v>
      </c>
      <c r="C205" s="61" t="s">
        <v>221</v>
      </c>
      <c r="D205" s="55">
        <v>2</v>
      </c>
      <c r="E205" s="55">
        <v>7</v>
      </c>
      <c r="F205" s="55" t="s">
        <v>675</v>
      </c>
      <c r="G205" s="55" t="s">
        <v>674</v>
      </c>
      <c r="H205" s="78"/>
      <c r="I205" s="92">
        <v>4.58</v>
      </c>
      <c r="J205" s="49">
        <v>2</v>
      </c>
      <c r="K205" s="49">
        <v>1</v>
      </c>
      <c r="L205" s="69"/>
      <c r="M205" s="69"/>
      <c r="N205" s="69"/>
      <c r="O205" s="69"/>
      <c r="P205" s="69"/>
      <c r="Q205" s="66"/>
      <c r="R205" s="66"/>
      <c r="S205" s="66"/>
      <c r="T205" s="66"/>
      <c r="U205" s="35" t="s">
        <v>239</v>
      </c>
      <c r="V205" s="39"/>
      <c r="W205" s="39"/>
      <c r="X205" s="39"/>
    </row>
    <row r="206" spans="1:24" ht="15.75" customHeight="1" x14ac:dyDescent="0.25">
      <c r="A206" s="49">
        <v>205</v>
      </c>
      <c r="B206" s="56" t="s">
        <v>187</v>
      </c>
      <c r="C206" s="61" t="s">
        <v>221</v>
      </c>
      <c r="D206" s="55">
        <v>5</v>
      </c>
      <c r="E206" s="55">
        <v>7</v>
      </c>
      <c r="F206" s="55" t="s">
        <v>495</v>
      </c>
      <c r="G206" s="55" t="s">
        <v>494</v>
      </c>
      <c r="H206" s="78">
        <v>16</v>
      </c>
      <c r="I206" s="92">
        <v>4.92</v>
      </c>
      <c r="J206" s="49">
        <v>6</v>
      </c>
      <c r="K206" s="49">
        <v>1</v>
      </c>
      <c r="L206" s="69"/>
      <c r="M206" s="69"/>
      <c r="N206" s="69"/>
      <c r="O206" s="69"/>
      <c r="P206" s="69"/>
      <c r="Q206" s="66"/>
      <c r="R206" s="66"/>
      <c r="S206" s="66"/>
      <c r="T206" s="66"/>
      <c r="U206" s="35" t="s">
        <v>239</v>
      </c>
      <c r="V206" s="39"/>
      <c r="W206" s="39"/>
      <c r="X206" s="39"/>
    </row>
    <row r="207" spans="1:24" ht="15.75" customHeight="1" x14ac:dyDescent="0.25">
      <c r="A207" s="49">
        <v>206</v>
      </c>
      <c r="B207" s="56" t="s">
        <v>243</v>
      </c>
      <c r="C207" s="61" t="s">
        <v>221</v>
      </c>
      <c r="D207" s="55">
        <v>2</v>
      </c>
      <c r="E207" s="55">
        <v>5</v>
      </c>
      <c r="F207" s="55" t="s">
        <v>679</v>
      </c>
      <c r="G207" s="55" t="s">
        <v>680</v>
      </c>
      <c r="H207" s="79"/>
      <c r="I207" s="92">
        <v>4.8899999999999997</v>
      </c>
      <c r="J207" s="49">
        <v>3</v>
      </c>
      <c r="K207" s="49">
        <v>1</v>
      </c>
      <c r="L207" s="69"/>
      <c r="M207" s="69"/>
      <c r="N207" s="69"/>
      <c r="O207" s="69"/>
      <c r="P207" s="69"/>
      <c r="Q207" s="66"/>
      <c r="R207" s="66"/>
      <c r="S207" s="66"/>
      <c r="T207" s="66"/>
      <c r="U207" s="35" t="s">
        <v>239</v>
      </c>
      <c r="V207" s="39"/>
      <c r="W207" s="39"/>
      <c r="X207" s="39"/>
    </row>
    <row r="208" spans="1:24" ht="15.75" customHeight="1" x14ac:dyDescent="0.25">
      <c r="A208" s="49">
        <v>207</v>
      </c>
      <c r="B208" s="56" t="s">
        <v>190</v>
      </c>
      <c r="C208" s="61" t="s">
        <v>221</v>
      </c>
      <c r="D208" s="55">
        <v>4</v>
      </c>
      <c r="E208" s="55">
        <v>9</v>
      </c>
      <c r="F208" s="55" t="s">
        <v>505</v>
      </c>
      <c r="G208" s="55" t="s">
        <v>502</v>
      </c>
      <c r="H208" s="78">
        <v>16</v>
      </c>
      <c r="I208" s="92">
        <v>1.9</v>
      </c>
      <c r="J208" s="49">
        <v>1</v>
      </c>
      <c r="K208" s="49">
        <v>2</v>
      </c>
      <c r="L208" s="69"/>
      <c r="M208" s="69"/>
      <c r="N208" s="69"/>
      <c r="O208" s="69"/>
      <c r="P208" s="69"/>
      <c r="Q208" s="66"/>
      <c r="R208" s="66"/>
      <c r="S208" s="66"/>
      <c r="T208" s="66"/>
      <c r="U208" s="35" t="s">
        <v>239</v>
      </c>
      <c r="V208" s="39"/>
      <c r="W208" s="39"/>
      <c r="X208" s="39"/>
    </row>
    <row r="209" spans="1:24" ht="15.75" customHeight="1" x14ac:dyDescent="0.25">
      <c r="A209" s="49">
        <v>208</v>
      </c>
      <c r="B209" s="56" t="s">
        <v>191</v>
      </c>
      <c r="C209" s="61" t="s">
        <v>221</v>
      </c>
      <c r="D209" s="55">
        <v>4</v>
      </c>
      <c r="E209" s="55">
        <v>7</v>
      </c>
      <c r="F209" s="55" t="s">
        <v>498</v>
      </c>
      <c r="G209" s="55" t="s">
        <v>494</v>
      </c>
      <c r="H209" s="78"/>
      <c r="I209" s="92">
        <v>3.65</v>
      </c>
      <c r="J209" s="49">
        <v>2</v>
      </c>
      <c r="K209" s="49">
        <v>1</v>
      </c>
      <c r="L209" s="69"/>
      <c r="M209" s="69"/>
      <c r="N209" s="69"/>
      <c r="O209" s="69"/>
      <c r="P209" s="69"/>
      <c r="Q209" s="66"/>
      <c r="R209" s="66"/>
      <c r="S209" s="66"/>
      <c r="T209" s="66"/>
      <c r="U209" s="35" t="s">
        <v>239</v>
      </c>
      <c r="V209" s="39"/>
      <c r="W209" s="39"/>
      <c r="X209" s="39"/>
    </row>
    <row r="210" spans="1:24" ht="15.75" customHeight="1" x14ac:dyDescent="0.25">
      <c r="A210" s="49">
        <v>209</v>
      </c>
      <c r="B210" s="56" t="s">
        <v>181</v>
      </c>
      <c r="C210" s="61" t="s">
        <v>221</v>
      </c>
      <c r="D210" s="55">
        <v>4</v>
      </c>
      <c r="E210" s="55">
        <v>9</v>
      </c>
      <c r="F210" s="55" t="s">
        <v>492</v>
      </c>
      <c r="G210" s="55" t="s">
        <v>368</v>
      </c>
      <c r="H210" s="78">
        <v>16</v>
      </c>
      <c r="I210" s="92">
        <v>3.71</v>
      </c>
      <c r="J210" s="49">
        <v>1</v>
      </c>
      <c r="K210" s="49">
        <v>1</v>
      </c>
      <c r="L210" s="69"/>
      <c r="M210" s="69"/>
      <c r="N210" s="69"/>
      <c r="O210" s="69"/>
      <c r="P210" s="69"/>
      <c r="Q210" s="66"/>
      <c r="R210" s="66"/>
      <c r="S210" s="66"/>
      <c r="T210" s="66"/>
      <c r="U210" s="35" t="s">
        <v>239</v>
      </c>
      <c r="V210" s="39"/>
      <c r="W210" s="39"/>
      <c r="X210" s="39"/>
    </row>
    <row r="211" spans="1:24" ht="15.75" customHeight="1" x14ac:dyDescent="0.25">
      <c r="A211" s="49">
        <v>210</v>
      </c>
      <c r="B211" s="56" t="s">
        <v>180</v>
      </c>
      <c r="C211" s="61" t="s">
        <v>221</v>
      </c>
      <c r="D211" s="55">
        <v>3</v>
      </c>
      <c r="E211" s="55">
        <v>8</v>
      </c>
      <c r="F211" s="55" t="s">
        <v>694</v>
      </c>
      <c r="G211" s="55" t="s">
        <v>463</v>
      </c>
      <c r="H211" s="78"/>
      <c r="I211" s="92">
        <v>5</v>
      </c>
      <c r="J211" s="49">
        <v>4</v>
      </c>
      <c r="K211" s="49">
        <v>1</v>
      </c>
      <c r="L211" s="69"/>
      <c r="M211" s="69"/>
      <c r="N211" s="69"/>
      <c r="O211" s="69"/>
      <c r="P211" s="69"/>
      <c r="Q211" s="66"/>
      <c r="R211" s="66"/>
      <c r="S211" s="66"/>
      <c r="T211" s="66"/>
      <c r="U211" s="35" t="s">
        <v>239</v>
      </c>
      <c r="V211" s="39"/>
      <c r="W211" s="39"/>
      <c r="X211" s="39"/>
    </row>
    <row r="212" spans="1:24" ht="15.75" customHeight="1" x14ac:dyDescent="0.25">
      <c r="A212" s="49">
        <v>211</v>
      </c>
      <c r="B212" s="56" t="s">
        <v>242</v>
      </c>
      <c r="C212" s="61" t="s">
        <v>221</v>
      </c>
      <c r="D212" s="55">
        <v>5</v>
      </c>
      <c r="E212" s="55">
        <v>11</v>
      </c>
      <c r="F212" s="55" t="s">
        <v>531</v>
      </c>
      <c r="G212" s="55" t="s">
        <v>530</v>
      </c>
      <c r="H212" s="78">
        <v>16</v>
      </c>
      <c r="I212" s="92">
        <v>4.42</v>
      </c>
      <c r="J212" s="49">
        <v>2</v>
      </c>
      <c r="K212" s="49">
        <v>0</v>
      </c>
      <c r="L212" s="69"/>
      <c r="M212" s="69"/>
      <c r="N212" s="69"/>
      <c r="O212" s="69"/>
      <c r="P212" s="69"/>
      <c r="Q212" s="66"/>
      <c r="R212" s="66"/>
      <c r="S212" s="66"/>
      <c r="T212" s="66"/>
      <c r="U212" s="35" t="s">
        <v>239</v>
      </c>
      <c r="V212" s="39"/>
      <c r="W212" s="39"/>
      <c r="X212" s="39"/>
    </row>
    <row r="213" spans="1:24" ht="15.75" customHeight="1" x14ac:dyDescent="0.25">
      <c r="A213" s="49">
        <v>212</v>
      </c>
      <c r="B213" s="56" t="s">
        <v>188</v>
      </c>
      <c r="C213" s="61" t="s">
        <v>221</v>
      </c>
      <c r="D213" s="55">
        <v>5</v>
      </c>
      <c r="E213" s="55">
        <v>8</v>
      </c>
      <c r="F213" s="55" t="s">
        <v>506</v>
      </c>
      <c r="G213" s="55" t="s">
        <v>502</v>
      </c>
      <c r="H213" s="78"/>
      <c r="I213" s="92">
        <v>2.78</v>
      </c>
      <c r="J213" s="49">
        <v>1</v>
      </c>
      <c r="K213" s="49">
        <v>1</v>
      </c>
      <c r="L213" s="69"/>
      <c r="M213" s="69"/>
      <c r="N213" s="69"/>
      <c r="O213" s="69"/>
      <c r="P213" s="69"/>
      <c r="Q213" s="66"/>
      <c r="R213" s="66"/>
      <c r="S213" s="66"/>
      <c r="T213" s="66"/>
      <c r="U213" s="35" t="s">
        <v>239</v>
      </c>
      <c r="V213" s="39"/>
      <c r="W213" s="39"/>
      <c r="X213" s="39"/>
    </row>
    <row r="214" spans="1:24" ht="15.75" customHeight="1" x14ac:dyDescent="0.25">
      <c r="A214" s="49">
        <v>213</v>
      </c>
      <c r="B214" s="56" t="s">
        <v>192</v>
      </c>
      <c r="C214" s="61" t="s">
        <v>221</v>
      </c>
      <c r="D214" s="55">
        <v>6</v>
      </c>
      <c r="E214" s="55">
        <v>12</v>
      </c>
      <c r="F214" s="55" t="s">
        <v>503</v>
      </c>
      <c r="G214" s="55" t="s">
        <v>502</v>
      </c>
      <c r="H214" s="78"/>
      <c r="I214" s="92">
        <v>3.52</v>
      </c>
      <c r="J214" s="49">
        <v>2</v>
      </c>
      <c r="K214" s="49">
        <v>0</v>
      </c>
      <c r="L214" s="69"/>
      <c r="M214" s="69"/>
      <c r="N214" s="69"/>
      <c r="O214" s="69"/>
      <c r="P214" s="69"/>
      <c r="Q214" s="66"/>
      <c r="R214" s="66"/>
      <c r="S214" s="66"/>
      <c r="T214" s="66"/>
      <c r="U214" s="35" t="s">
        <v>239</v>
      </c>
      <c r="V214" s="39"/>
      <c r="W214" s="39"/>
      <c r="X214" s="39"/>
    </row>
    <row r="215" spans="1:24" ht="15.75" customHeight="1" x14ac:dyDescent="0.25">
      <c r="A215" s="49">
        <v>214</v>
      </c>
      <c r="B215" s="56" t="s">
        <v>286</v>
      </c>
      <c r="C215" s="61" t="s">
        <v>221</v>
      </c>
      <c r="D215" s="55">
        <v>4</v>
      </c>
      <c r="E215" s="55">
        <v>8</v>
      </c>
      <c r="F215" s="55" t="s">
        <v>470</v>
      </c>
      <c r="G215" s="55" t="s">
        <v>363</v>
      </c>
      <c r="H215" s="78"/>
      <c r="I215" s="92">
        <v>4.76</v>
      </c>
      <c r="J215" s="49"/>
      <c r="K215" s="49"/>
      <c r="L215" s="69"/>
      <c r="M215" s="69"/>
      <c r="N215" s="69"/>
      <c r="O215" s="69"/>
      <c r="P215" s="69"/>
      <c r="Q215" s="66"/>
      <c r="R215" s="66"/>
      <c r="S215" s="66"/>
      <c r="T215" s="66"/>
      <c r="U215" s="35" t="s">
        <v>239</v>
      </c>
      <c r="V215" s="39"/>
      <c r="W215" s="39"/>
      <c r="X215" s="39"/>
    </row>
    <row r="216" spans="1:24" ht="15.75" customHeight="1" x14ac:dyDescent="0.25">
      <c r="A216" s="104">
        <v>215</v>
      </c>
      <c r="B216" s="105" t="s">
        <v>287</v>
      </c>
      <c r="C216" s="106" t="s">
        <v>221</v>
      </c>
      <c r="D216" s="114"/>
      <c r="E216" s="114"/>
      <c r="F216" s="114"/>
      <c r="G216" s="114"/>
      <c r="H216" s="108"/>
      <c r="I216" s="126">
        <v>4.5999999999999996</v>
      </c>
      <c r="J216" s="104"/>
      <c r="K216" s="104"/>
      <c r="L216" s="134"/>
      <c r="M216" s="134"/>
      <c r="N216" s="134"/>
      <c r="O216" s="134"/>
      <c r="P216" s="134"/>
      <c r="Q216" s="112"/>
      <c r="R216" s="112"/>
      <c r="S216" s="112"/>
      <c r="T216" s="112"/>
      <c r="U216" s="35" t="s">
        <v>239</v>
      </c>
      <c r="V216" s="39"/>
      <c r="W216" s="39"/>
      <c r="X216" s="39"/>
    </row>
    <row r="217" spans="1:24" ht="15.75" customHeight="1" x14ac:dyDescent="0.25">
      <c r="A217" s="104">
        <v>216</v>
      </c>
      <c r="B217" s="105" t="s">
        <v>280</v>
      </c>
      <c r="C217" s="106" t="s">
        <v>221</v>
      </c>
      <c r="D217" s="114"/>
      <c r="E217" s="114"/>
      <c r="F217" s="114"/>
      <c r="G217" s="114"/>
      <c r="H217" s="108"/>
      <c r="I217" s="109"/>
      <c r="J217" s="104"/>
      <c r="K217" s="104"/>
      <c r="L217" s="134"/>
      <c r="M217" s="134"/>
      <c r="N217" s="134"/>
      <c r="O217" s="134"/>
      <c r="P217" s="134"/>
      <c r="Q217" s="112"/>
      <c r="R217" s="112"/>
      <c r="S217" s="112"/>
      <c r="T217" s="112"/>
      <c r="U217" s="35" t="s">
        <v>239</v>
      </c>
      <c r="V217" s="39"/>
      <c r="W217" s="39"/>
      <c r="X217" s="39"/>
    </row>
    <row r="218" spans="1:24" ht="15.75" customHeight="1" x14ac:dyDescent="0.25">
      <c r="A218" s="104">
        <v>217</v>
      </c>
      <c r="B218" s="105" t="s">
        <v>302</v>
      </c>
      <c r="C218" s="106" t="s">
        <v>221</v>
      </c>
      <c r="D218" s="114"/>
      <c r="E218" s="114"/>
      <c r="F218" s="114"/>
      <c r="G218" s="114"/>
      <c r="H218" s="108"/>
      <c r="I218" s="126"/>
      <c r="J218" s="104"/>
      <c r="K218" s="104"/>
      <c r="L218" s="134"/>
      <c r="M218" s="134"/>
      <c r="N218" s="134"/>
      <c r="O218" s="134"/>
      <c r="P218" s="134"/>
      <c r="Q218" s="112"/>
      <c r="R218" s="112"/>
      <c r="S218" s="112"/>
      <c r="T218" s="112"/>
      <c r="U218" s="35" t="s">
        <v>239</v>
      </c>
      <c r="V218" s="39"/>
      <c r="W218" s="39"/>
      <c r="X218" s="39"/>
    </row>
    <row r="219" spans="1:24" ht="15.75" customHeight="1" x14ac:dyDescent="0.25">
      <c r="A219" s="104">
        <v>218</v>
      </c>
      <c r="B219" s="105" t="s">
        <v>303</v>
      </c>
      <c r="C219" s="106" t="s">
        <v>221</v>
      </c>
      <c r="D219" s="114"/>
      <c r="E219" s="114"/>
      <c r="F219" s="114"/>
      <c r="G219" s="114"/>
      <c r="H219" s="108"/>
      <c r="I219" s="109"/>
      <c r="J219" s="104"/>
      <c r="K219" s="104"/>
      <c r="L219" s="134"/>
      <c r="M219" s="134"/>
      <c r="N219" s="134"/>
      <c r="O219" s="134"/>
      <c r="P219" s="134"/>
      <c r="Q219" s="112"/>
      <c r="R219" s="112"/>
      <c r="S219" s="112"/>
      <c r="T219" s="112"/>
      <c r="U219" s="35" t="s">
        <v>239</v>
      </c>
      <c r="V219" s="39"/>
      <c r="W219" s="39"/>
      <c r="X219" s="39"/>
    </row>
    <row r="220" spans="1:24" ht="15.75" customHeight="1" x14ac:dyDescent="0.25">
      <c r="A220" s="49">
        <v>219</v>
      </c>
      <c r="B220" s="56" t="s">
        <v>304</v>
      </c>
      <c r="C220" s="61" t="s">
        <v>221</v>
      </c>
      <c r="D220" s="55">
        <v>3</v>
      </c>
      <c r="E220" s="55">
        <v>7</v>
      </c>
      <c r="F220" s="55" t="s">
        <v>504</v>
      </c>
      <c r="G220" s="55" t="s">
        <v>502</v>
      </c>
      <c r="H220" s="78"/>
      <c r="I220" s="62"/>
      <c r="J220" s="49"/>
      <c r="K220" s="49"/>
      <c r="L220" s="69"/>
      <c r="M220" s="69"/>
      <c r="N220" s="69"/>
      <c r="O220" s="69"/>
      <c r="P220" s="69"/>
      <c r="Q220" s="66"/>
      <c r="R220" s="66"/>
      <c r="S220" s="66"/>
      <c r="T220" s="66"/>
      <c r="U220" s="43" t="s">
        <v>239</v>
      </c>
      <c r="V220" s="39"/>
      <c r="W220" s="39"/>
      <c r="X220" s="39"/>
    </row>
    <row r="221" spans="1:24" ht="15.75" customHeight="1" x14ac:dyDescent="0.25">
      <c r="A221" s="49">
        <v>220</v>
      </c>
      <c r="B221" s="56" t="s">
        <v>305</v>
      </c>
      <c r="C221" s="61" t="s">
        <v>221</v>
      </c>
      <c r="D221" s="55">
        <v>2</v>
      </c>
      <c r="E221" s="55">
        <v>5</v>
      </c>
      <c r="F221" s="55" t="s">
        <v>577</v>
      </c>
      <c r="G221" s="55" t="s">
        <v>575</v>
      </c>
      <c r="H221" s="78"/>
      <c r="I221" s="92">
        <v>4.29</v>
      </c>
      <c r="J221" s="49">
        <v>7</v>
      </c>
      <c r="K221" s="49">
        <v>3</v>
      </c>
      <c r="L221" s="77"/>
      <c r="M221" s="77"/>
      <c r="N221" s="77"/>
      <c r="O221" s="77"/>
      <c r="P221" s="77"/>
      <c r="Q221" s="66"/>
      <c r="R221" s="66"/>
      <c r="S221" s="66"/>
      <c r="T221" s="66"/>
      <c r="U221" s="35" t="s">
        <v>239</v>
      </c>
      <c r="V221" s="39"/>
      <c r="W221" s="39"/>
      <c r="X221" s="39"/>
    </row>
    <row r="222" spans="1:24" ht="15.75" customHeight="1" x14ac:dyDescent="0.25">
      <c r="A222" s="104">
        <v>221</v>
      </c>
      <c r="B222" s="105" t="s">
        <v>374</v>
      </c>
      <c r="C222" s="106" t="s">
        <v>221</v>
      </c>
      <c r="D222" s="114"/>
      <c r="E222" s="114"/>
      <c r="F222" s="114"/>
      <c r="G222" s="114"/>
      <c r="H222" s="108">
        <v>16</v>
      </c>
      <c r="I222" s="126">
        <v>3</v>
      </c>
      <c r="J222" s="104"/>
      <c r="K222" s="104"/>
      <c r="L222" s="112"/>
      <c r="M222" s="112"/>
      <c r="N222" s="134"/>
      <c r="O222" s="134"/>
      <c r="P222" s="134"/>
      <c r="Q222" s="112"/>
      <c r="R222" s="112"/>
      <c r="S222" s="112"/>
      <c r="T222" s="112"/>
      <c r="U222" s="35" t="s">
        <v>239</v>
      </c>
      <c r="V222" s="39"/>
      <c r="W222" s="39"/>
      <c r="X222" s="39"/>
    </row>
    <row r="223" spans="1:24" ht="15.75" customHeight="1" x14ac:dyDescent="0.25">
      <c r="A223" s="49">
        <v>222</v>
      </c>
      <c r="B223" s="56" t="s">
        <v>381</v>
      </c>
      <c r="C223" s="61" t="s">
        <v>221</v>
      </c>
      <c r="D223" s="55">
        <v>2</v>
      </c>
      <c r="E223" s="55">
        <v>5</v>
      </c>
      <c r="F223" s="55" t="s">
        <v>603</v>
      </c>
      <c r="G223" s="55" t="s">
        <v>602</v>
      </c>
      <c r="H223" s="78"/>
      <c r="I223" s="92"/>
      <c r="J223" s="49"/>
      <c r="K223" s="49"/>
      <c r="L223" s="66"/>
      <c r="M223" s="66"/>
      <c r="N223" s="66"/>
      <c r="O223" s="66"/>
      <c r="P223" s="66"/>
      <c r="Q223" s="66"/>
      <c r="R223" s="66"/>
      <c r="S223" s="66"/>
      <c r="T223" s="66"/>
      <c r="U223" s="35" t="s">
        <v>239</v>
      </c>
      <c r="V223" s="39"/>
      <c r="W223" s="39"/>
      <c r="X223" s="39"/>
    </row>
    <row r="224" spans="1:24" ht="15.75" customHeight="1" x14ac:dyDescent="0.25">
      <c r="A224" s="49">
        <v>223</v>
      </c>
      <c r="B224" s="56" t="s">
        <v>382</v>
      </c>
      <c r="C224" s="61" t="s">
        <v>221</v>
      </c>
      <c r="D224" s="55">
        <v>2</v>
      </c>
      <c r="E224" s="55">
        <v>5</v>
      </c>
      <c r="F224" s="55" t="s">
        <v>611</v>
      </c>
      <c r="G224" s="55" t="s">
        <v>607</v>
      </c>
      <c r="H224" s="78"/>
      <c r="I224" s="92">
        <v>4.9800000000000004</v>
      </c>
      <c r="J224" s="49"/>
      <c r="K224" s="49"/>
      <c r="L224" s="66"/>
      <c r="M224" s="66"/>
      <c r="N224" s="66"/>
      <c r="O224" s="66"/>
      <c r="P224" s="66"/>
      <c r="Q224" s="66"/>
      <c r="R224" s="66"/>
      <c r="S224" s="66"/>
      <c r="T224" s="66"/>
      <c r="U224" s="35" t="s">
        <v>239</v>
      </c>
      <c r="V224" s="39"/>
      <c r="W224" s="39"/>
      <c r="X224" s="39"/>
    </row>
    <row r="225" spans="1:24" ht="15.75" customHeight="1" x14ac:dyDescent="0.25">
      <c r="A225" s="49">
        <v>224</v>
      </c>
      <c r="B225" s="56" t="s">
        <v>728</v>
      </c>
      <c r="C225" s="61" t="s">
        <v>221</v>
      </c>
      <c r="D225" s="55">
        <v>2</v>
      </c>
      <c r="E225" s="55">
        <v>5</v>
      </c>
      <c r="F225" s="55" t="s">
        <v>729</v>
      </c>
      <c r="G225" s="55" t="s">
        <v>477</v>
      </c>
      <c r="H225" s="78"/>
      <c r="I225" s="92">
        <v>5</v>
      </c>
      <c r="J225" s="49"/>
      <c r="K225" s="49"/>
      <c r="L225" s="66"/>
      <c r="M225" s="66"/>
      <c r="N225" s="66"/>
      <c r="O225" s="66"/>
      <c r="P225" s="66"/>
      <c r="Q225" s="66"/>
      <c r="R225" s="66"/>
      <c r="S225" s="66"/>
      <c r="T225" s="66"/>
      <c r="U225" s="35"/>
      <c r="V225" s="39"/>
      <c r="W225" s="39"/>
      <c r="X225" s="39"/>
    </row>
    <row r="226" spans="1:24" ht="15.75" customHeight="1" x14ac:dyDescent="0.25">
      <c r="A226" s="49">
        <v>225</v>
      </c>
      <c r="B226" s="56" t="s">
        <v>719</v>
      </c>
      <c r="C226" s="61" t="s">
        <v>221</v>
      </c>
      <c r="D226" s="55">
        <v>3</v>
      </c>
      <c r="E226" s="55">
        <v>8</v>
      </c>
      <c r="F226" s="55" t="s">
        <v>720</v>
      </c>
      <c r="G226" s="55" t="s">
        <v>351</v>
      </c>
      <c r="H226" s="78"/>
      <c r="I226" s="92">
        <v>4.1900000000000004</v>
      </c>
      <c r="J226" s="49"/>
      <c r="K226" s="49"/>
      <c r="L226" s="66"/>
      <c r="M226" s="66"/>
      <c r="N226" s="66"/>
      <c r="O226" s="66"/>
      <c r="P226" s="66"/>
      <c r="Q226" s="66"/>
      <c r="R226" s="66"/>
      <c r="S226" s="66"/>
      <c r="T226" s="66"/>
      <c r="U226" s="35"/>
      <c r="V226" s="39"/>
      <c r="W226" s="39"/>
      <c r="X226" s="39"/>
    </row>
    <row r="227" spans="1:24" ht="15.75" customHeight="1" x14ac:dyDescent="0.25">
      <c r="A227" s="49">
        <v>226</v>
      </c>
      <c r="B227" s="56" t="s">
        <v>775</v>
      </c>
      <c r="C227" s="61" t="s">
        <v>221</v>
      </c>
      <c r="D227" s="55">
        <v>4</v>
      </c>
      <c r="E227" s="55">
        <v>7</v>
      </c>
      <c r="F227" s="55" t="s">
        <v>776</v>
      </c>
      <c r="G227" s="55" t="s">
        <v>543</v>
      </c>
      <c r="H227" s="78"/>
      <c r="I227" s="92">
        <v>4.93</v>
      </c>
      <c r="J227" s="49"/>
      <c r="K227" s="49"/>
      <c r="L227" s="66"/>
      <c r="M227" s="66"/>
      <c r="N227" s="66"/>
      <c r="O227" s="66"/>
      <c r="P227" s="66"/>
      <c r="Q227" s="66"/>
      <c r="R227" s="66"/>
      <c r="S227" s="66"/>
      <c r="T227" s="66"/>
      <c r="U227" s="35"/>
      <c r="V227" s="39"/>
      <c r="W227" s="39"/>
      <c r="X227" s="39"/>
    </row>
    <row r="228" spans="1:24" ht="15.75" customHeight="1" x14ac:dyDescent="0.25">
      <c r="A228" s="53">
        <v>227</v>
      </c>
      <c r="B228" s="56" t="s">
        <v>779</v>
      </c>
      <c r="C228" s="61" t="s">
        <v>221</v>
      </c>
      <c r="D228" s="55">
        <v>3</v>
      </c>
      <c r="E228" s="55">
        <v>8</v>
      </c>
      <c r="F228" s="55" t="s">
        <v>780</v>
      </c>
      <c r="G228" s="55" t="s">
        <v>637</v>
      </c>
      <c r="H228" s="78"/>
      <c r="I228" s="92">
        <v>4.3899999999999997</v>
      </c>
      <c r="J228" s="49"/>
      <c r="K228" s="49"/>
      <c r="L228" s="66"/>
      <c r="M228" s="66"/>
      <c r="N228" s="66"/>
      <c r="O228" s="66"/>
      <c r="P228" s="66"/>
      <c r="Q228" s="66"/>
      <c r="R228" s="66"/>
      <c r="S228" s="66"/>
      <c r="T228" s="66"/>
      <c r="U228" s="35"/>
      <c r="V228" s="39"/>
      <c r="W228" s="39"/>
      <c r="X228" s="39"/>
    </row>
    <row r="229" spans="1:24" ht="15.75" customHeight="1" x14ac:dyDescent="0.25">
      <c r="A229" s="53">
        <v>228</v>
      </c>
      <c r="B229" s="56" t="s">
        <v>786</v>
      </c>
      <c r="C229" s="61" t="s">
        <v>221</v>
      </c>
      <c r="D229" s="55">
        <v>3</v>
      </c>
      <c r="E229" s="55">
        <v>9</v>
      </c>
      <c r="F229" s="55" t="s">
        <v>788</v>
      </c>
      <c r="G229" s="55" t="s">
        <v>655</v>
      </c>
      <c r="H229" s="78"/>
      <c r="I229" s="92">
        <v>4.99</v>
      </c>
      <c r="J229" s="49"/>
      <c r="K229" s="49"/>
      <c r="L229" s="66"/>
      <c r="M229" s="66"/>
      <c r="N229" s="66"/>
      <c r="O229" s="66"/>
      <c r="P229" s="66"/>
      <c r="Q229" s="66"/>
      <c r="R229" s="66"/>
      <c r="S229" s="66"/>
      <c r="T229" s="66"/>
      <c r="U229" s="35"/>
      <c r="V229" s="39"/>
      <c r="W229" s="39"/>
      <c r="X229" s="39"/>
    </row>
    <row r="230" spans="1:24" ht="15.75" customHeight="1" x14ac:dyDescent="0.25">
      <c r="A230" s="53">
        <v>229</v>
      </c>
      <c r="B230" s="56" t="s">
        <v>787</v>
      </c>
      <c r="C230" s="61" t="s">
        <v>221</v>
      </c>
      <c r="D230" s="55">
        <v>3</v>
      </c>
      <c r="E230" s="55">
        <v>8</v>
      </c>
      <c r="F230" s="55" t="s">
        <v>789</v>
      </c>
      <c r="G230" s="55" t="s">
        <v>655</v>
      </c>
      <c r="H230" s="78">
        <v>16</v>
      </c>
      <c r="I230" s="92">
        <v>4.24</v>
      </c>
      <c r="J230" s="49"/>
      <c r="K230" s="49"/>
      <c r="L230" s="66"/>
      <c r="M230" s="66"/>
      <c r="N230" s="66"/>
      <c r="O230" s="66"/>
      <c r="P230" s="66"/>
      <c r="Q230" s="66"/>
      <c r="R230" s="66"/>
      <c r="S230" s="66"/>
      <c r="T230" s="66"/>
      <c r="U230" s="35"/>
      <c r="V230" s="39"/>
      <c r="W230" s="39"/>
      <c r="X230" s="39"/>
    </row>
    <row r="231" spans="1:24" ht="15.75" customHeight="1" x14ac:dyDescent="0.25">
      <c r="A231" s="53">
        <v>230</v>
      </c>
      <c r="B231" s="56" t="s">
        <v>193</v>
      </c>
      <c r="C231" s="61" t="s">
        <v>8</v>
      </c>
      <c r="D231" s="55">
        <v>2</v>
      </c>
      <c r="E231" s="55">
        <v>7</v>
      </c>
      <c r="F231" s="55" t="s">
        <v>438</v>
      </c>
      <c r="G231" s="55" t="s">
        <v>349</v>
      </c>
      <c r="H231" s="78"/>
      <c r="I231" s="92">
        <v>3.23</v>
      </c>
      <c r="J231" s="49">
        <v>4</v>
      </c>
      <c r="K231" s="49">
        <v>1</v>
      </c>
      <c r="L231" s="66"/>
      <c r="M231" s="66"/>
      <c r="N231" s="66"/>
      <c r="O231" s="66"/>
      <c r="P231" s="66"/>
      <c r="Q231" s="66"/>
      <c r="R231" s="66"/>
      <c r="S231" s="66"/>
      <c r="T231" s="66"/>
      <c r="U231" s="35" t="s">
        <v>239</v>
      </c>
      <c r="V231" s="39"/>
      <c r="W231" s="39"/>
      <c r="X231" s="39"/>
    </row>
    <row r="232" spans="1:24" ht="15.75" customHeight="1" x14ac:dyDescent="0.25">
      <c r="A232" s="53">
        <v>231</v>
      </c>
      <c r="B232" s="56" t="s">
        <v>194</v>
      </c>
      <c r="C232" s="61" t="s">
        <v>8</v>
      </c>
      <c r="D232" s="55">
        <v>3</v>
      </c>
      <c r="E232" s="55">
        <v>6</v>
      </c>
      <c r="F232" s="55" t="s">
        <v>659</v>
      </c>
      <c r="G232" s="55" t="s">
        <v>660</v>
      </c>
      <c r="H232" s="78"/>
      <c r="I232" s="92">
        <v>4.8</v>
      </c>
      <c r="J232" s="49">
        <v>2</v>
      </c>
      <c r="K232" s="49">
        <v>2</v>
      </c>
      <c r="L232" s="66"/>
      <c r="M232" s="66"/>
      <c r="N232" s="66"/>
      <c r="O232" s="66"/>
      <c r="P232" s="66"/>
      <c r="Q232" s="66"/>
      <c r="R232" s="66"/>
      <c r="S232" s="66"/>
      <c r="T232" s="66"/>
      <c r="U232" s="35" t="s">
        <v>239</v>
      </c>
      <c r="V232" s="39"/>
      <c r="W232" s="39"/>
      <c r="X232" s="39"/>
    </row>
    <row r="233" spans="1:24" ht="15.75" customHeight="1" x14ac:dyDescent="0.25">
      <c r="A233" s="53">
        <v>232</v>
      </c>
      <c r="B233" s="56" t="s">
        <v>196</v>
      </c>
      <c r="C233" s="61" t="s">
        <v>8</v>
      </c>
      <c r="D233" s="55">
        <v>2</v>
      </c>
      <c r="E233" s="55">
        <v>4</v>
      </c>
      <c r="F233" s="55" t="s">
        <v>671</v>
      </c>
      <c r="G233" s="55" t="s">
        <v>672</v>
      </c>
      <c r="H233" s="78">
        <v>16</v>
      </c>
      <c r="I233" s="92">
        <v>4.54</v>
      </c>
      <c r="J233" s="49">
        <v>1</v>
      </c>
      <c r="K233" s="49">
        <v>1</v>
      </c>
      <c r="L233" s="69"/>
      <c r="M233" s="69"/>
      <c r="N233" s="69"/>
      <c r="O233" s="69"/>
      <c r="P233" s="69"/>
      <c r="Q233" s="66"/>
      <c r="R233" s="66"/>
      <c r="S233" s="66"/>
      <c r="T233" s="66"/>
      <c r="U233" s="35" t="s">
        <v>239</v>
      </c>
      <c r="V233" s="39"/>
      <c r="W233" s="39"/>
      <c r="X233" s="39"/>
    </row>
    <row r="234" spans="1:24" ht="15.75" customHeight="1" x14ac:dyDescent="0.25">
      <c r="A234" s="107">
        <v>233</v>
      </c>
      <c r="B234" s="105" t="s">
        <v>198</v>
      </c>
      <c r="C234" s="106" t="s">
        <v>8</v>
      </c>
      <c r="D234" s="114"/>
      <c r="E234" s="114"/>
      <c r="F234" s="114"/>
      <c r="G234" s="114"/>
      <c r="H234" s="108">
        <v>15</v>
      </c>
      <c r="I234" s="126">
        <v>3</v>
      </c>
      <c r="J234" s="104"/>
      <c r="K234" s="104"/>
      <c r="L234" s="134"/>
      <c r="M234" s="134"/>
      <c r="N234" s="134"/>
      <c r="O234" s="134"/>
      <c r="P234" s="134"/>
      <c r="Q234" s="112"/>
      <c r="R234" s="112"/>
      <c r="S234" s="112"/>
      <c r="T234" s="112"/>
      <c r="U234" s="35" t="s">
        <v>239</v>
      </c>
      <c r="V234" s="39"/>
      <c r="W234" s="39"/>
      <c r="X234" s="39"/>
    </row>
    <row r="235" spans="1:24" ht="15.75" customHeight="1" x14ac:dyDescent="0.25">
      <c r="A235" s="53">
        <v>234</v>
      </c>
      <c r="B235" s="56" t="s">
        <v>241</v>
      </c>
      <c r="C235" s="61" t="s">
        <v>8</v>
      </c>
      <c r="D235" s="55">
        <v>8</v>
      </c>
      <c r="E235" s="55">
        <v>12</v>
      </c>
      <c r="F235" s="55" t="s">
        <v>493</v>
      </c>
      <c r="G235" s="55" t="s">
        <v>494</v>
      </c>
      <c r="H235" s="78"/>
      <c r="I235" s="92"/>
      <c r="J235" s="49">
        <v>2</v>
      </c>
      <c r="K235" s="49">
        <v>1</v>
      </c>
      <c r="L235" s="69"/>
      <c r="M235" s="69"/>
      <c r="N235" s="69"/>
      <c r="O235" s="69"/>
      <c r="P235" s="69"/>
      <c r="Q235" s="66"/>
      <c r="R235" s="66"/>
      <c r="S235" s="66"/>
      <c r="T235" s="66"/>
      <c r="U235" s="35" t="s">
        <v>239</v>
      </c>
      <c r="V235" s="39"/>
      <c r="W235" s="39"/>
      <c r="X235" s="39"/>
    </row>
    <row r="236" spans="1:24" ht="15.75" customHeight="1" x14ac:dyDescent="0.25">
      <c r="A236" s="53">
        <v>235</v>
      </c>
      <c r="B236" s="56" t="s">
        <v>200</v>
      </c>
      <c r="C236" s="61" t="s">
        <v>8</v>
      </c>
      <c r="D236" s="55">
        <v>1</v>
      </c>
      <c r="E236" s="55">
        <v>3</v>
      </c>
      <c r="F236" s="55" t="s">
        <v>648</v>
      </c>
      <c r="G236" s="55" t="s">
        <v>649</v>
      </c>
      <c r="H236" s="78">
        <v>15</v>
      </c>
      <c r="I236" s="92">
        <v>3.07</v>
      </c>
      <c r="J236" s="51"/>
      <c r="K236" s="51"/>
      <c r="L236" s="69"/>
      <c r="M236" s="69"/>
      <c r="N236" s="69"/>
      <c r="O236" s="69"/>
      <c r="P236" s="69"/>
      <c r="Q236" s="66"/>
      <c r="R236" s="66"/>
      <c r="S236" s="66"/>
      <c r="T236" s="66"/>
      <c r="U236" s="35" t="s">
        <v>239</v>
      </c>
      <c r="V236" s="39"/>
      <c r="W236" s="39"/>
      <c r="X236" s="39"/>
    </row>
    <row r="237" spans="1:24" ht="15.75" customHeight="1" x14ac:dyDescent="0.25">
      <c r="A237" s="53">
        <v>236</v>
      </c>
      <c r="B237" s="56" t="s">
        <v>195</v>
      </c>
      <c r="C237" s="61" t="s">
        <v>8</v>
      </c>
      <c r="D237" s="55">
        <v>5</v>
      </c>
      <c r="E237" s="55">
        <v>5</v>
      </c>
      <c r="F237" s="55" t="s">
        <v>627</v>
      </c>
      <c r="G237" s="55" t="s">
        <v>625</v>
      </c>
      <c r="H237" s="78">
        <v>16</v>
      </c>
      <c r="I237" s="92">
        <v>4.28</v>
      </c>
      <c r="J237" s="51">
        <v>1</v>
      </c>
      <c r="K237" s="51">
        <v>2</v>
      </c>
      <c r="L237" s="56"/>
      <c r="M237" s="56"/>
      <c r="N237" s="56"/>
      <c r="O237" s="56"/>
      <c r="P237" s="56"/>
      <c r="Q237" s="66"/>
      <c r="R237" s="66"/>
      <c r="S237" s="66"/>
      <c r="T237" s="66"/>
      <c r="U237" s="35" t="s">
        <v>239</v>
      </c>
      <c r="V237" s="39"/>
      <c r="W237" s="39"/>
      <c r="X237" s="39"/>
    </row>
    <row r="238" spans="1:24" ht="15.75" customHeight="1" x14ac:dyDescent="0.25">
      <c r="A238" s="53">
        <v>237</v>
      </c>
      <c r="B238" s="56" t="s">
        <v>202</v>
      </c>
      <c r="C238" s="61" t="s">
        <v>8</v>
      </c>
      <c r="D238" s="55">
        <v>3</v>
      </c>
      <c r="E238" s="55">
        <v>8</v>
      </c>
      <c r="F238" s="55" t="s">
        <v>476</v>
      </c>
      <c r="G238" s="55" t="s">
        <v>477</v>
      </c>
      <c r="H238" s="78">
        <v>16</v>
      </c>
      <c r="I238" s="92">
        <v>4.42</v>
      </c>
      <c r="J238" s="49">
        <v>4</v>
      </c>
      <c r="K238" s="49">
        <v>2</v>
      </c>
      <c r="L238" s="69"/>
      <c r="M238" s="69"/>
      <c r="N238" s="69"/>
      <c r="O238" s="69"/>
      <c r="P238" s="69"/>
      <c r="Q238" s="66"/>
      <c r="R238" s="66"/>
      <c r="S238" s="66"/>
      <c r="T238" s="66"/>
      <c r="U238" s="35" t="s">
        <v>239</v>
      </c>
      <c r="V238" s="39"/>
      <c r="W238" s="39"/>
      <c r="X238" s="39"/>
    </row>
    <row r="239" spans="1:24" ht="15.75" customHeight="1" x14ac:dyDescent="0.25">
      <c r="A239" s="53">
        <v>238</v>
      </c>
      <c r="B239" s="56" t="s">
        <v>199</v>
      </c>
      <c r="C239" s="61" t="s">
        <v>8</v>
      </c>
      <c r="D239" s="55">
        <v>4</v>
      </c>
      <c r="E239" s="55">
        <v>9</v>
      </c>
      <c r="F239" s="55" t="s">
        <v>596</v>
      </c>
      <c r="G239" s="55" t="s">
        <v>597</v>
      </c>
      <c r="H239" s="78"/>
      <c r="I239" s="92">
        <v>3.32</v>
      </c>
      <c r="J239" s="49">
        <v>3</v>
      </c>
      <c r="K239" s="49">
        <v>1</v>
      </c>
      <c r="L239" s="69"/>
      <c r="M239" s="69"/>
      <c r="N239" s="69"/>
      <c r="O239" s="69"/>
      <c r="P239" s="69"/>
      <c r="Q239" s="66"/>
      <c r="R239" s="66"/>
      <c r="S239" s="68"/>
      <c r="T239" s="68"/>
      <c r="U239" s="35" t="s">
        <v>239</v>
      </c>
      <c r="V239" s="39"/>
      <c r="W239" s="39"/>
      <c r="X239" s="39"/>
    </row>
    <row r="240" spans="1:24" ht="15.75" customHeight="1" x14ac:dyDescent="0.25">
      <c r="A240" s="53">
        <v>239</v>
      </c>
      <c r="B240" s="56" t="s">
        <v>290</v>
      </c>
      <c r="C240" s="61" t="s">
        <v>8</v>
      </c>
      <c r="D240" s="55">
        <v>3</v>
      </c>
      <c r="E240" s="55">
        <v>3</v>
      </c>
      <c r="F240" s="55" t="s">
        <v>537</v>
      </c>
      <c r="G240" s="55" t="s">
        <v>538</v>
      </c>
      <c r="H240" s="78"/>
      <c r="I240" s="92">
        <v>2.78</v>
      </c>
      <c r="J240" s="49"/>
      <c r="K240" s="49"/>
      <c r="L240" s="56"/>
      <c r="M240" s="56"/>
      <c r="N240" s="56"/>
      <c r="O240" s="56"/>
      <c r="P240" s="56"/>
      <c r="Q240" s="66"/>
      <c r="R240" s="66"/>
      <c r="S240" s="66"/>
      <c r="T240" s="66"/>
      <c r="U240" s="35" t="s">
        <v>239</v>
      </c>
      <c r="V240" s="39"/>
      <c r="W240" s="39"/>
      <c r="X240" s="39"/>
    </row>
    <row r="241" spans="1:24" ht="15.75" customHeight="1" x14ac:dyDescent="0.25">
      <c r="A241" s="53">
        <v>240</v>
      </c>
      <c r="B241" s="56" t="s">
        <v>285</v>
      </c>
      <c r="C241" s="61" t="s">
        <v>8</v>
      </c>
      <c r="D241" s="55">
        <v>3</v>
      </c>
      <c r="E241" s="55">
        <v>6</v>
      </c>
      <c r="F241" s="55" t="s">
        <v>670</v>
      </c>
      <c r="G241" s="55" t="s">
        <v>669</v>
      </c>
      <c r="H241" s="78"/>
      <c r="I241" s="92">
        <v>4.4800000000000004</v>
      </c>
      <c r="J241" s="49"/>
      <c r="K241" s="49"/>
      <c r="L241" s="69"/>
      <c r="M241" s="69"/>
      <c r="N241" s="69"/>
      <c r="O241" s="69"/>
      <c r="P241" s="69"/>
      <c r="Q241" s="68"/>
      <c r="R241" s="66"/>
      <c r="S241" s="66"/>
      <c r="T241" s="66"/>
      <c r="U241" s="35" t="s">
        <v>239</v>
      </c>
      <c r="V241" s="39"/>
      <c r="W241" s="39"/>
      <c r="X241" s="39"/>
    </row>
    <row r="242" spans="1:24" ht="15.75" customHeight="1" x14ac:dyDescent="0.25">
      <c r="A242" s="53">
        <v>241</v>
      </c>
      <c r="B242" s="56" t="s">
        <v>376</v>
      </c>
      <c r="C242" s="61" t="s">
        <v>8</v>
      </c>
      <c r="D242" s="55">
        <v>4</v>
      </c>
      <c r="E242" s="55">
        <v>5</v>
      </c>
      <c r="F242" s="55" t="s">
        <v>639</v>
      </c>
      <c r="G242" s="55" t="s">
        <v>640</v>
      </c>
      <c r="H242" s="78">
        <v>16</v>
      </c>
      <c r="I242" s="92">
        <v>2.5299999999999998</v>
      </c>
      <c r="J242" s="49"/>
      <c r="K242" s="49"/>
      <c r="L242" s="69"/>
      <c r="M242" s="69"/>
      <c r="N242" s="69"/>
      <c r="O242" s="69"/>
      <c r="P242" s="69"/>
      <c r="Q242" s="66"/>
      <c r="R242" s="66"/>
      <c r="S242" s="66"/>
      <c r="T242" s="66"/>
      <c r="U242" s="35" t="s">
        <v>239</v>
      </c>
      <c r="V242" s="39"/>
      <c r="W242" s="39"/>
      <c r="X242" s="39"/>
    </row>
    <row r="243" spans="1:24" ht="15.75" customHeight="1" x14ac:dyDescent="0.25">
      <c r="A243" s="107">
        <v>242</v>
      </c>
      <c r="B243" s="105" t="s">
        <v>307</v>
      </c>
      <c r="C243" s="106" t="s">
        <v>8</v>
      </c>
      <c r="D243" s="114"/>
      <c r="E243" s="114"/>
      <c r="F243" s="114"/>
      <c r="G243" s="114"/>
      <c r="H243" s="108"/>
      <c r="I243" s="109">
        <v>4.93</v>
      </c>
      <c r="J243" s="104"/>
      <c r="K243" s="104"/>
      <c r="L243" s="134"/>
      <c r="M243" s="134"/>
      <c r="N243" s="134"/>
      <c r="O243" s="134"/>
      <c r="P243" s="134"/>
      <c r="Q243" s="112"/>
      <c r="R243" s="112"/>
      <c r="S243" s="112"/>
      <c r="T243" s="112"/>
      <c r="U243" s="35" t="s">
        <v>239</v>
      </c>
      <c r="V243" s="39"/>
      <c r="W243" s="39"/>
      <c r="X243" s="39"/>
    </row>
    <row r="244" spans="1:24" ht="15.75" customHeight="1" x14ac:dyDescent="0.25">
      <c r="A244" s="53">
        <v>243</v>
      </c>
      <c r="B244" s="56" t="s">
        <v>308</v>
      </c>
      <c r="C244" s="61" t="s">
        <v>8</v>
      </c>
      <c r="D244" s="55">
        <v>2</v>
      </c>
      <c r="E244" s="55">
        <v>4</v>
      </c>
      <c r="F244" s="55" t="s">
        <v>629</v>
      </c>
      <c r="G244" s="55" t="s">
        <v>625</v>
      </c>
      <c r="H244" s="78"/>
      <c r="I244" s="92"/>
      <c r="J244" s="49"/>
      <c r="K244" s="49"/>
      <c r="L244" s="66"/>
      <c r="M244" s="66"/>
      <c r="N244" s="66"/>
      <c r="O244" s="66"/>
      <c r="P244" s="66"/>
      <c r="Q244" s="66"/>
      <c r="R244" s="66"/>
      <c r="S244" s="66"/>
      <c r="T244" s="66"/>
      <c r="U244" s="35" t="s">
        <v>239</v>
      </c>
      <c r="V244" s="39"/>
      <c r="W244" s="39"/>
      <c r="X244" s="39"/>
    </row>
    <row r="245" spans="1:24" ht="15.75" customHeight="1" x14ac:dyDescent="0.25">
      <c r="A245" s="107">
        <v>244</v>
      </c>
      <c r="B245" s="105" t="s">
        <v>309</v>
      </c>
      <c r="C245" s="106" t="s">
        <v>8</v>
      </c>
      <c r="D245" s="114"/>
      <c r="E245" s="114"/>
      <c r="F245" s="114"/>
      <c r="G245" s="114"/>
      <c r="H245" s="108">
        <v>13</v>
      </c>
      <c r="I245" s="126">
        <v>3.19</v>
      </c>
      <c r="J245" s="104"/>
      <c r="K245" s="104"/>
      <c r="L245" s="112"/>
      <c r="M245" s="112"/>
      <c r="N245" s="112"/>
      <c r="O245" s="112"/>
      <c r="P245" s="112"/>
      <c r="Q245" s="112"/>
      <c r="R245" s="112"/>
      <c r="S245" s="112"/>
      <c r="T245" s="112"/>
      <c r="U245" s="35" t="s">
        <v>239</v>
      </c>
      <c r="V245" s="39"/>
      <c r="W245" s="39"/>
      <c r="X245" s="39"/>
    </row>
    <row r="246" spans="1:24" ht="15.75" customHeight="1" x14ac:dyDescent="0.25">
      <c r="A246" s="53">
        <v>245</v>
      </c>
      <c r="B246" s="56" t="s">
        <v>215</v>
      </c>
      <c r="C246" s="61" t="s">
        <v>222</v>
      </c>
      <c r="D246" s="55">
        <v>3</v>
      </c>
      <c r="E246" s="55">
        <v>3</v>
      </c>
      <c r="F246" s="55" t="s">
        <v>413</v>
      </c>
      <c r="G246" s="78" t="s">
        <v>414</v>
      </c>
      <c r="H246" s="90"/>
      <c r="I246" s="92"/>
      <c r="J246" s="49">
        <v>3</v>
      </c>
      <c r="K246" s="49">
        <v>0</v>
      </c>
      <c r="L246" s="77"/>
      <c r="M246" s="77"/>
      <c r="N246" s="77"/>
      <c r="O246" s="77"/>
      <c r="P246" s="77"/>
      <c r="Q246" s="66"/>
      <c r="R246" s="66"/>
      <c r="S246" s="66"/>
      <c r="T246" s="66"/>
      <c r="U246" s="35" t="s">
        <v>239</v>
      </c>
      <c r="V246" s="39"/>
      <c r="W246" s="39"/>
      <c r="X246" s="39"/>
    </row>
    <row r="247" spans="1:24" ht="15.75" customHeight="1" x14ac:dyDescent="0.25">
      <c r="A247" s="53">
        <v>246</v>
      </c>
      <c r="B247" s="56" t="s">
        <v>248</v>
      </c>
      <c r="C247" s="61" t="s">
        <v>222</v>
      </c>
      <c r="D247" s="55">
        <v>3</v>
      </c>
      <c r="E247" s="55">
        <v>3</v>
      </c>
      <c r="F247" s="55" t="s">
        <v>417</v>
      </c>
      <c r="G247" s="78" t="s">
        <v>342</v>
      </c>
      <c r="H247" s="90"/>
      <c r="I247" s="92">
        <v>3.38</v>
      </c>
      <c r="J247" s="49">
        <v>1</v>
      </c>
      <c r="K247" s="49">
        <v>0</v>
      </c>
      <c r="L247" s="66"/>
      <c r="M247" s="66"/>
      <c r="N247" s="66"/>
      <c r="O247" s="66"/>
      <c r="P247" s="66"/>
      <c r="Q247" s="66"/>
      <c r="R247" s="66"/>
      <c r="S247" s="66"/>
      <c r="T247" s="66"/>
      <c r="U247" s="35" t="s">
        <v>239</v>
      </c>
      <c r="V247" s="39"/>
      <c r="W247" s="39"/>
      <c r="X247" s="39"/>
    </row>
    <row r="248" spans="1:24" ht="15.75" customHeight="1" x14ac:dyDescent="0.25">
      <c r="A248" s="53">
        <v>247</v>
      </c>
      <c r="B248" s="56" t="s">
        <v>216</v>
      </c>
      <c r="C248" s="61" t="s">
        <v>222</v>
      </c>
      <c r="D248" s="102">
        <v>11</v>
      </c>
      <c r="E248" s="102">
        <v>11</v>
      </c>
      <c r="F248" s="102" t="s">
        <v>405</v>
      </c>
      <c r="G248" s="102" t="s">
        <v>404</v>
      </c>
      <c r="H248" s="90"/>
      <c r="I248" s="92">
        <v>2.4700000000000002</v>
      </c>
      <c r="J248" s="49">
        <v>7</v>
      </c>
      <c r="K248" s="49">
        <v>2</v>
      </c>
      <c r="L248" s="69"/>
      <c r="M248" s="69"/>
      <c r="N248" s="69"/>
      <c r="O248" s="69"/>
      <c r="P248" s="69"/>
      <c r="Q248" s="68"/>
      <c r="R248" s="68"/>
      <c r="S248" s="68"/>
      <c r="T248" s="68"/>
      <c r="U248" s="35" t="s">
        <v>239</v>
      </c>
      <c r="V248" s="39"/>
      <c r="W248" s="39"/>
      <c r="X248" s="39"/>
    </row>
    <row r="249" spans="1:24" ht="15.75" customHeight="1" x14ac:dyDescent="0.25">
      <c r="A249" s="53">
        <v>248</v>
      </c>
      <c r="B249" s="56" t="s">
        <v>214</v>
      </c>
      <c r="C249" s="61" t="s">
        <v>222</v>
      </c>
      <c r="D249" s="55">
        <v>1</v>
      </c>
      <c r="E249" s="55">
        <v>1</v>
      </c>
      <c r="F249" s="55" t="s">
        <v>437</v>
      </c>
      <c r="G249" s="78" t="s">
        <v>349</v>
      </c>
      <c r="H249" s="90"/>
      <c r="I249" s="92">
        <v>2.78</v>
      </c>
      <c r="J249" s="49">
        <v>3</v>
      </c>
      <c r="K249" s="49">
        <v>1</v>
      </c>
      <c r="L249" s="56"/>
      <c r="M249" s="56"/>
      <c r="N249" s="56"/>
      <c r="O249" s="56"/>
      <c r="P249" s="56"/>
      <c r="Q249" s="56"/>
      <c r="R249" s="56"/>
      <c r="S249" s="56"/>
      <c r="T249" s="56"/>
      <c r="U249" s="35" t="s">
        <v>239</v>
      </c>
      <c r="V249" s="39"/>
      <c r="W249" s="39"/>
      <c r="X249" s="39"/>
    </row>
    <row r="250" spans="1:24" ht="15.75" customHeight="1" x14ac:dyDescent="0.25">
      <c r="A250" s="53">
        <v>249</v>
      </c>
      <c r="B250" s="56" t="s">
        <v>218</v>
      </c>
      <c r="C250" s="61" t="s">
        <v>222</v>
      </c>
      <c r="D250" s="55">
        <v>2</v>
      </c>
      <c r="E250" s="55">
        <v>2</v>
      </c>
      <c r="F250" s="55" t="s">
        <v>406</v>
      </c>
      <c r="G250" s="78" t="s">
        <v>407</v>
      </c>
      <c r="H250" s="90"/>
      <c r="I250" s="92">
        <v>2.9</v>
      </c>
      <c r="J250" s="49">
        <v>1</v>
      </c>
      <c r="K250" s="49">
        <v>0</v>
      </c>
      <c r="L250" s="69"/>
      <c r="M250" s="69"/>
      <c r="N250" s="69"/>
      <c r="O250" s="69"/>
      <c r="P250" s="69"/>
      <c r="Q250" s="66"/>
      <c r="R250" s="68"/>
      <c r="S250" s="68"/>
      <c r="T250" s="68"/>
      <c r="U250" s="35" t="s">
        <v>239</v>
      </c>
      <c r="V250" s="39"/>
      <c r="W250" s="39"/>
      <c r="X250" s="39"/>
    </row>
    <row r="251" spans="1:24" ht="15.75" customHeight="1" x14ac:dyDescent="0.25">
      <c r="A251" s="53">
        <v>250</v>
      </c>
      <c r="B251" s="56" t="s">
        <v>217</v>
      </c>
      <c r="C251" s="61" t="s">
        <v>222</v>
      </c>
      <c r="D251" s="55">
        <v>6</v>
      </c>
      <c r="E251" s="55">
        <v>6</v>
      </c>
      <c r="F251" s="55" t="s">
        <v>402</v>
      </c>
      <c r="G251" s="78" t="s">
        <v>403</v>
      </c>
      <c r="H251" s="90"/>
      <c r="I251" s="92">
        <v>3.02</v>
      </c>
      <c r="J251" s="49">
        <v>5</v>
      </c>
      <c r="K251" s="49">
        <v>3</v>
      </c>
      <c r="L251" s="69"/>
      <c r="M251" s="69"/>
      <c r="N251" s="69"/>
      <c r="O251" s="69"/>
      <c r="P251" s="69"/>
      <c r="Q251" s="68"/>
      <c r="R251" s="68"/>
      <c r="S251" s="68"/>
      <c r="T251" s="68"/>
      <c r="U251" s="35" t="s">
        <v>239</v>
      </c>
      <c r="V251" s="39"/>
      <c r="W251" s="39"/>
      <c r="X251" s="39"/>
    </row>
    <row r="252" spans="1:24" ht="15.75" customHeight="1" x14ac:dyDescent="0.25">
      <c r="A252" s="53">
        <v>251</v>
      </c>
      <c r="B252" s="56" t="s">
        <v>253</v>
      </c>
      <c r="C252" s="61" t="s">
        <v>222</v>
      </c>
      <c r="D252" s="55">
        <v>4</v>
      </c>
      <c r="E252" s="55">
        <v>4</v>
      </c>
      <c r="F252" s="55" t="s">
        <v>408</v>
      </c>
      <c r="G252" s="78" t="s">
        <v>409</v>
      </c>
      <c r="H252" s="90"/>
      <c r="I252" s="92">
        <v>2.11</v>
      </c>
      <c r="J252" s="49"/>
      <c r="K252" s="49"/>
      <c r="L252" s="69"/>
      <c r="M252" s="69"/>
      <c r="N252" s="69"/>
      <c r="O252" s="69"/>
      <c r="P252" s="69"/>
      <c r="Q252" s="68"/>
      <c r="R252" s="68"/>
      <c r="S252" s="68"/>
      <c r="T252" s="68"/>
      <c r="U252" s="35" t="s">
        <v>239</v>
      </c>
      <c r="V252" s="39"/>
      <c r="W252" s="39"/>
      <c r="X252" s="39"/>
    </row>
    <row r="253" spans="1:24" ht="15.75" customHeight="1" x14ac:dyDescent="0.25">
      <c r="A253" s="107">
        <v>252</v>
      </c>
      <c r="B253" s="105" t="s">
        <v>289</v>
      </c>
      <c r="C253" s="106" t="s">
        <v>222</v>
      </c>
      <c r="D253" s="114"/>
      <c r="E253" s="114"/>
      <c r="F253" s="114"/>
      <c r="G253" s="108"/>
      <c r="H253" s="136"/>
      <c r="I253" s="109">
        <v>2.2599999999999998</v>
      </c>
      <c r="J253" s="104"/>
      <c r="K253" s="104"/>
      <c r="L253" s="134"/>
      <c r="M253" s="134"/>
      <c r="N253" s="134"/>
      <c r="O253" s="134"/>
      <c r="P253" s="134"/>
      <c r="Q253" s="137"/>
      <c r="R253" s="137"/>
      <c r="S253" s="137"/>
      <c r="T253" s="137"/>
      <c r="U253" s="35" t="s">
        <v>239</v>
      </c>
      <c r="V253" s="39"/>
      <c r="W253" s="39"/>
      <c r="X253" s="39"/>
    </row>
    <row r="254" spans="1:24" ht="15.75" customHeight="1" x14ac:dyDescent="0.25">
      <c r="A254" s="107">
        <v>253</v>
      </c>
      <c r="B254" s="105" t="s">
        <v>256</v>
      </c>
      <c r="C254" s="106" t="s">
        <v>222</v>
      </c>
      <c r="D254" s="114"/>
      <c r="E254" s="114"/>
      <c r="F254" s="114"/>
      <c r="G254" s="108"/>
      <c r="H254" s="136"/>
      <c r="I254" s="109"/>
      <c r="J254" s="104"/>
      <c r="K254" s="104"/>
      <c r="L254" s="134"/>
      <c r="M254" s="134"/>
      <c r="N254" s="134"/>
      <c r="O254" s="134"/>
      <c r="P254" s="134"/>
      <c r="Q254" s="137"/>
      <c r="R254" s="137"/>
      <c r="S254" s="137"/>
      <c r="T254" s="137"/>
      <c r="U254" s="35" t="s">
        <v>239</v>
      </c>
      <c r="V254" s="39"/>
      <c r="W254" s="39"/>
      <c r="X254" s="39"/>
    </row>
    <row r="255" spans="1:24" ht="15.75" customHeight="1" x14ac:dyDescent="0.25">
      <c r="A255" s="53">
        <v>254</v>
      </c>
      <c r="B255" s="56" t="s">
        <v>249</v>
      </c>
      <c r="C255" s="61" t="s">
        <v>222</v>
      </c>
      <c r="D255" s="55">
        <v>2</v>
      </c>
      <c r="E255" s="55">
        <v>5</v>
      </c>
      <c r="F255" s="55" t="s">
        <v>609</v>
      </c>
      <c r="G255" s="78" t="s">
        <v>607</v>
      </c>
      <c r="H255" s="90"/>
      <c r="I255" s="92"/>
      <c r="J255" s="49"/>
      <c r="K255" s="49"/>
      <c r="L255" s="69"/>
      <c r="M255" s="69"/>
      <c r="N255" s="69"/>
      <c r="O255" s="69"/>
      <c r="P255" s="69"/>
      <c r="Q255" s="68"/>
      <c r="R255" s="68"/>
      <c r="S255" s="68"/>
      <c r="T255" s="68"/>
      <c r="U255" s="35" t="s">
        <v>239</v>
      </c>
      <c r="V255" s="39"/>
      <c r="W255" s="39"/>
      <c r="X255" s="39"/>
    </row>
    <row r="256" spans="1:24" ht="15.75" customHeight="1" x14ac:dyDescent="0.25">
      <c r="A256" s="107">
        <v>255</v>
      </c>
      <c r="B256" s="105" t="s">
        <v>288</v>
      </c>
      <c r="C256" s="106" t="s">
        <v>222</v>
      </c>
      <c r="D256" s="114"/>
      <c r="E256" s="114"/>
      <c r="F256" s="114"/>
      <c r="G256" s="108"/>
      <c r="H256" s="136"/>
      <c r="I256" s="126">
        <v>2.0499999999999998</v>
      </c>
      <c r="J256" s="104"/>
      <c r="K256" s="104"/>
      <c r="L256" s="134"/>
      <c r="M256" s="134"/>
      <c r="N256" s="134"/>
      <c r="O256" s="134"/>
      <c r="P256" s="134"/>
      <c r="Q256" s="137"/>
      <c r="R256" s="137"/>
      <c r="S256" s="137"/>
      <c r="T256" s="137"/>
      <c r="U256" s="35" t="s">
        <v>239</v>
      </c>
      <c r="V256" s="39"/>
      <c r="W256" s="39"/>
      <c r="X256" s="39"/>
    </row>
    <row r="257" spans="1:24" ht="15.75" customHeight="1" x14ac:dyDescent="0.25">
      <c r="A257" s="53">
        <v>256</v>
      </c>
      <c r="B257" s="56" t="s">
        <v>299</v>
      </c>
      <c r="C257" s="61" t="s">
        <v>222</v>
      </c>
      <c r="D257" s="55">
        <v>2</v>
      </c>
      <c r="E257" s="55">
        <v>2</v>
      </c>
      <c r="F257" s="55" t="s">
        <v>419</v>
      </c>
      <c r="G257" s="78" t="s">
        <v>420</v>
      </c>
      <c r="H257" s="90"/>
      <c r="I257" s="92"/>
      <c r="J257" s="49">
        <v>4</v>
      </c>
      <c r="K257" s="49">
        <v>2</v>
      </c>
      <c r="L257" s="69"/>
      <c r="M257" s="69"/>
      <c r="N257" s="69"/>
      <c r="O257" s="69"/>
      <c r="P257" s="69"/>
      <c r="Q257" s="68"/>
      <c r="R257" s="68"/>
      <c r="S257" s="68"/>
      <c r="T257" s="68"/>
      <c r="U257" s="35" t="s">
        <v>239</v>
      </c>
      <c r="V257" s="39"/>
      <c r="W257" s="39"/>
      <c r="X257" s="39"/>
    </row>
    <row r="258" spans="1:24" ht="15.75" customHeight="1" x14ac:dyDescent="0.25">
      <c r="A258" s="53">
        <v>257</v>
      </c>
      <c r="B258" s="56" t="s">
        <v>306</v>
      </c>
      <c r="C258" s="61" t="s">
        <v>222</v>
      </c>
      <c r="D258" s="55">
        <v>1</v>
      </c>
      <c r="E258" s="55">
        <v>2</v>
      </c>
      <c r="F258" s="55" t="s">
        <v>700</v>
      </c>
      <c r="G258" s="55" t="s">
        <v>640</v>
      </c>
      <c r="H258" s="78"/>
      <c r="I258" s="92">
        <v>3.58</v>
      </c>
      <c r="J258" s="49"/>
      <c r="K258" s="49"/>
      <c r="L258" s="69"/>
      <c r="M258" s="69"/>
      <c r="N258" s="69"/>
      <c r="O258" s="69"/>
      <c r="P258" s="69"/>
      <c r="Q258" s="68"/>
      <c r="R258" s="68"/>
      <c r="S258" s="68"/>
      <c r="T258" s="68"/>
      <c r="U258" s="35" t="s">
        <v>239</v>
      </c>
      <c r="V258" s="39"/>
      <c r="W258" s="39"/>
      <c r="X258" s="39"/>
    </row>
    <row r="259" spans="1:24" ht="15.75" customHeight="1" x14ac:dyDescent="0.25">
      <c r="A259" s="53">
        <v>258</v>
      </c>
      <c r="B259" s="56" t="s">
        <v>343</v>
      </c>
      <c r="C259" s="61" t="s">
        <v>222</v>
      </c>
      <c r="D259" s="55">
        <v>3</v>
      </c>
      <c r="E259" s="55">
        <v>3</v>
      </c>
      <c r="F259" s="55" t="s">
        <v>641</v>
      </c>
      <c r="G259" s="55" t="s">
        <v>640</v>
      </c>
      <c r="H259" s="78">
        <v>12.5</v>
      </c>
      <c r="I259" s="92">
        <v>3.67</v>
      </c>
      <c r="J259" s="49"/>
      <c r="K259" s="49"/>
      <c r="L259" s="69"/>
      <c r="M259" s="69"/>
      <c r="N259" s="69"/>
      <c r="O259" s="69"/>
      <c r="P259" s="69"/>
      <c r="Q259" s="66"/>
      <c r="R259" s="66"/>
      <c r="S259" s="66"/>
      <c r="T259" s="66"/>
      <c r="U259" s="35" t="s">
        <v>239</v>
      </c>
      <c r="V259" s="39"/>
      <c r="W259" s="39"/>
      <c r="X259" s="39"/>
    </row>
    <row r="260" spans="1:24" ht="15.75" customHeight="1" x14ac:dyDescent="0.25">
      <c r="A260" s="53">
        <v>259</v>
      </c>
      <c r="B260" s="56" t="s">
        <v>359</v>
      </c>
      <c r="C260" s="61" t="s">
        <v>222</v>
      </c>
      <c r="D260" s="55">
        <v>1</v>
      </c>
      <c r="E260" s="55">
        <v>1</v>
      </c>
      <c r="F260" s="55" t="s">
        <v>689</v>
      </c>
      <c r="G260" s="55" t="s">
        <v>414</v>
      </c>
      <c r="H260" s="78"/>
      <c r="I260" s="92">
        <v>2.75</v>
      </c>
      <c r="J260" s="49"/>
      <c r="K260" s="49"/>
      <c r="L260" s="77"/>
      <c r="M260" s="77"/>
      <c r="N260" s="77"/>
      <c r="O260" s="77"/>
      <c r="P260" s="77"/>
      <c r="Q260" s="68"/>
      <c r="R260" s="68"/>
      <c r="S260" s="68"/>
      <c r="T260" s="68"/>
      <c r="U260" s="43" t="s">
        <v>239</v>
      </c>
      <c r="V260" s="39"/>
      <c r="W260" s="39"/>
      <c r="X260" s="39"/>
    </row>
    <row r="261" spans="1:24" ht="15.75" customHeight="1" x14ac:dyDescent="0.25">
      <c r="A261" s="53">
        <v>260</v>
      </c>
      <c r="B261" s="56" t="s">
        <v>702</v>
      </c>
      <c r="C261" s="61" t="s">
        <v>222</v>
      </c>
      <c r="D261" s="55">
        <v>1</v>
      </c>
      <c r="E261" s="55">
        <v>1</v>
      </c>
      <c r="F261" s="55" t="s">
        <v>703</v>
      </c>
      <c r="G261" s="55" t="s">
        <v>704</v>
      </c>
      <c r="H261" s="78"/>
      <c r="I261" s="92">
        <v>3.21</v>
      </c>
      <c r="J261" s="49">
        <v>4</v>
      </c>
      <c r="K261" s="49">
        <v>4</v>
      </c>
      <c r="L261" s="77"/>
      <c r="M261" s="77"/>
      <c r="N261" s="77"/>
      <c r="O261" s="77"/>
      <c r="P261" s="77"/>
      <c r="Q261" s="68"/>
      <c r="R261" s="68"/>
      <c r="S261" s="68"/>
      <c r="T261" s="68"/>
      <c r="U261" s="43"/>
      <c r="V261" s="39"/>
      <c r="W261" s="39"/>
      <c r="X261" s="39"/>
    </row>
    <row r="262" spans="1:24" ht="15.75" customHeight="1" x14ac:dyDescent="0.25">
      <c r="A262" s="53">
        <v>261</v>
      </c>
      <c r="B262" s="56" t="s">
        <v>705</v>
      </c>
      <c r="C262" s="61" t="s">
        <v>222</v>
      </c>
      <c r="D262" s="55">
        <v>1</v>
      </c>
      <c r="E262" s="55">
        <v>1</v>
      </c>
      <c r="F262" s="55" t="s">
        <v>706</v>
      </c>
      <c r="G262" s="55" t="s">
        <v>707</v>
      </c>
      <c r="H262" s="78"/>
      <c r="I262" s="92">
        <v>4.33</v>
      </c>
      <c r="J262" s="49"/>
      <c r="K262" s="49"/>
      <c r="L262" s="77"/>
      <c r="M262" s="77"/>
      <c r="N262" s="77"/>
      <c r="O262" s="77"/>
      <c r="P262" s="77"/>
      <c r="Q262" s="68"/>
      <c r="R262" s="68"/>
      <c r="S262" s="68"/>
      <c r="T262" s="68"/>
      <c r="U262" s="43"/>
      <c r="V262" s="39"/>
      <c r="W262" s="39"/>
      <c r="X262" s="39"/>
    </row>
    <row r="263" spans="1:24" ht="15.75" customHeight="1" x14ac:dyDescent="0.25">
      <c r="A263" s="53">
        <v>262</v>
      </c>
      <c r="B263" s="56" t="s">
        <v>708</v>
      </c>
      <c r="C263" s="61" t="s">
        <v>222</v>
      </c>
      <c r="D263" s="55">
        <v>1</v>
      </c>
      <c r="E263" s="55">
        <v>1</v>
      </c>
      <c r="F263" s="55" t="s">
        <v>703</v>
      </c>
      <c r="G263" s="55" t="s">
        <v>414</v>
      </c>
      <c r="H263" s="78"/>
      <c r="I263" s="92">
        <v>4.21</v>
      </c>
      <c r="J263" s="49"/>
      <c r="K263" s="49"/>
      <c r="L263" s="77"/>
      <c r="M263" s="77"/>
      <c r="N263" s="77"/>
      <c r="O263" s="77"/>
      <c r="P263" s="77"/>
      <c r="Q263" s="68"/>
      <c r="R263" s="68"/>
      <c r="S263" s="68"/>
      <c r="T263" s="68"/>
      <c r="U263" s="43"/>
      <c r="V263" s="39"/>
      <c r="W263" s="39"/>
      <c r="X263" s="39"/>
    </row>
    <row r="264" spans="1:24" ht="15.75" customHeight="1" x14ac:dyDescent="0.25">
      <c r="A264" s="53">
        <v>263</v>
      </c>
      <c r="B264" s="56" t="s">
        <v>781</v>
      </c>
      <c r="C264" s="61" t="s">
        <v>222</v>
      </c>
      <c r="D264" s="55">
        <v>6</v>
      </c>
      <c r="E264" s="55">
        <v>14</v>
      </c>
      <c r="F264" s="55" t="s">
        <v>782</v>
      </c>
      <c r="G264" s="55" t="s">
        <v>783</v>
      </c>
      <c r="H264" s="78"/>
      <c r="I264" s="92">
        <v>0</v>
      </c>
      <c r="J264" s="49">
        <v>6</v>
      </c>
      <c r="K264" s="49">
        <v>3</v>
      </c>
      <c r="L264" s="77"/>
      <c r="M264" s="77"/>
      <c r="N264" s="77"/>
      <c r="O264" s="77"/>
      <c r="P264" s="77"/>
      <c r="Q264" s="68"/>
      <c r="R264" s="68"/>
      <c r="S264" s="68"/>
      <c r="T264" s="68"/>
      <c r="U264" s="43"/>
      <c r="V264" s="39"/>
      <c r="W264" s="39"/>
      <c r="X264" s="39"/>
    </row>
    <row r="265" spans="1:24" ht="15.75" customHeight="1" x14ac:dyDescent="0.25">
      <c r="A265" s="53">
        <v>264</v>
      </c>
      <c r="B265" s="56" t="s">
        <v>784</v>
      </c>
      <c r="C265" s="61" t="s">
        <v>222</v>
      </c>
      <c r="D265" s="55">
        <v>2</v>
      </c>
      <c r="E265" s="55">
        <v>2</v>
      </c>
      <c r="F265" s="55" t="s">
        <v>785</v>
      </c>
      <c r="G265" s="55" t="s">
        <v>640</v>
      </c>
      <c r="H265" s="78"/>
      <c r="I265" s="92">
        <v>3.09</v>
      </c>
      <c r="J265" s="49"/>
      <c r="K265" s="49"/>
      <c r="L265" s="77"/>
      <c r="M265" s="77"/>
      <c r="N265" s="77"/>
      <c r="O265" s="77"/>
      <c r="P265" s="77"/>
      <c r="Q265" s="68"/>
      <c r="R265" s="68"/>
      <c r="S265" s="68"/>
      <c r="T265" s="68"/>
      <c r="U265" s="43"/>
      <c r="V265" s="39"/>
      <c r="W265" s="39"/>
      <c r="X265" s="39"/>
    </row>
    <row r="266" spans="1:24" ht="15.75" customHeight="1" x14ac:dyDescent="0.25">
      <c r="A266" s="53">
        <v>265</v>
      </c>
      <c r="B266" s="56" t="s">
        <v>203</v>
      </c>
      <c r="C266" s="61" t="s">
        <v>9</v>
      </c>
      <c r="D266" s="55">
        <v>3</v>
      </c>
      <c r="E266" s="55">
        <v>4</v>
      </c>
      <c r="F266" s="55" t="s">
        <v>586</v>
      </c>
      <c r="G266" s="55" t="s">
        <v>585</v>
      </c>
      <c r="H266" s="78"/>
      <c r="I266" s="92">
        <v>4.3899999999999997</v>
      </c>
      <c r="J266" s="49">
        <v>4</v>
      </c>
      <c r="K266" s="49">
        <v>1</v>
      </c>
      <c r="L266" s="77"/>
      <c r="M266" s="77"/>
      <c r="N266" s="77"/>
      <c r="O266" s="77"/>
      <c r="P266" s="77"/>
      <c r="Q266" s="68"/>
      <c r="R266" s="68"/>
      <c r="S266" s="68"/>
      <c r="T266" s="68"/>
      <c r="U266" s="43" t="s">
        <v>239</v>
      </c>
      <c r="V266" s="39"/>
      <c r="W266" s="39"/>
      <c r="X266" s="39"/>
    </row>
    <row r="267" spans="1:24" ht="15.75" customHeight="1" x14ac:dyDescent="0.25">
      <c r="A267" s="53">
        <v>266</v>
      </c>
      <c r="B267" s="56" t="s">
        <v>204</v>
      </c>
      <c r="C267" s="61" t="s">
        <v>9</v>
      </c>
      <c r="D267" s="55">
        <v>4</v>
      </c>
      <c r="E267" s="55">
        <v>7</v>
      </c>
      <c r="F267" s="55" t="s">
        <v>644</v>
      </c>
      <c r="G267" s="55" t="s">
        <v>645</v>
      </c>
      <c r="H267" s="78">
        <v>16</v>
      </c>
      <c r="I267" s="92">
        <v>3.33</v>
      </c>
      <c r="J267" s="49"/>
      <c r="K267" s="49"/>
      <c r="L267" s="77"/>
      <c r="M267" s="77"/>
      <c r="N267" s="77"/>
      <c r="O267" s="77"/>
      <c r="P267" s="77"/>
      <c r="Q267" s="68"/>
      <c r="R267" s="68"/>
      <c r="S267" s="68"/>
      <c r="T267" s="68"/>
      <c r="U267" s="43" t="s">
        <v>239</v>
      </c>
      <c r="V267" s="39"/>
      <c r="W267" s="39"/>
      <c r="X267" s="39"/>
    </row>
    <row r="268" spans="1:24" ht="15.75" customHeight="1" x14ac:dyDescent="0.25">
      <c r="A268" s="53">
        <v>267</v>
      </c>
      <c r="B268" s="56" t="s">
        <v>205</v>
      </c>
      <c r="C268" s="61" t="s">
        <v>9</v>
      </c>
      <c r="D268" s="55">
        <v>3</v>
      </c>
      <c r="E268" s="55">
        <v>8</v>
      </c>
      <c r="F268" s="55" t="s">
        <v>587</v>
      </c>
      <c r="G268" s="55" t="s">
        <v>585</v>
      </c>
      <c r="H268" s="78">
        <v>16</v>
      </c>
      <c r="I268" s="92">
        <v>3.59</v>
      </c>
      <c r="J268" s="49"/>
      <c r="K268" s="49"/>
      <c r="L268" s="69"/>
      <c r="M268" s="69"/>
      <c r="N268" s="69"/>
      <c r="O268" s="69"/>
      <c r="P268" s="69"/>
      <c r="Q268" s="66"/>
      <c r="R268" s="66"/>
      <c r="S268" s="66"/>
      <c r="T268" s="66"/>
      <c r="U268" s="35" t="s">
        <v>239</v>
      </c>
      <c r="V268" s="39"/>
      <c r="W268" s="39"/>
      <c r="X268" s="39"/>
    </row>
    <row r="269" spans="1:24" ht="15.75" customHeight="1" x14ac:dyDescent="0.25">
      <c r="A269" s="53">
        <v>268</v>
      </c>
      <c r="B269" s="56" t="s">
        <v>209</v>
      </c>
      <c r="C269" s="61" t="s">
        <v>9</v>
      </c>
      <c r="D269" s="55">
        <v>6</v>
      </c>
      <c r="E269" s="55">
        <v>12</v>
      </c>
      <c r="F269" s="55" t="s">
        <v>499</v>
      </c>
      <c r="G269" s="55" t="s">
        <v>494</v>
      </c>
      <c r="H269" s="78"/>
      <c r="I269" s="92">
        <v>0.71</v>
      </c>
      <c r="J269" s="49">
        <v>1</v>
      </c>
      <c r="K269" s="49">
        <v>2</v>
      </c>
      <c r="L269" s="69"/>
      <c r="M269" s="69"/>
      <c r="N269" s="69"/>
      <c r="O269" s="69"/>
      <c r="P269" s="69"/>
      <c r="Q269" s="66"/>
      <c r="R269" s="66"/>
      <c r="S269" s="66"/>
      <c r="T269" s="66"/>
      <c r="U269" s="35" t="s">
        <v>239</v>
      </c>
      <c r="V269" s="39"/>
      <c r="W269" s="39"/>
      <c r="X269" s="39"/>
    </row>
    <row r="270" spans="1:24" ht="15.75" customHeight="1" x14ac:dyDescent="0.25">
      <c r="A270" s="53">
        <v>269</v>
      </c>
      <c r="B270" s="56" t="s">
        <v>211</v>
      </c>
      <c r="C270" s="61" t="s">
        <v>9</v>
      </c>
      <c r="D270" s="55">
        <v>2</v>
      </c>
      <c r="E270" s="55">
        <v>3</v>
      </c>
      <c r="F270" s="55" t="s">
        <v>613</v>
      </c>
      <c r="G270" s="55" t="s">
        <v>614</v>
      </c>
      <c r="H270" s="78"/>
      <c r="I270" s="92">
        <v>2.2799999999999998</v>
      </c>
      <c r="J270" s="49">
        <v>1</v>
      </c>
      <c r="K270" s="49">
        <v>2</v>
      </c>
      <c r="L270" s="69"/>
      <c r="M270" s="69"/>
      <c r="N270" s="69"/>
      <c r="O270" s="69"/>
      <c r="P270" s="69"/>
      <c r="Q270" s="66"/>
      <c r="R270" s="66"/>
      <c r="S270" s="66"/>
      <c r="T270" s="66"/>
      <c r="U270" s="35" t="s">
        <v>239</v>
      </c>
      <c r="V270" s="39"/>
      <c r="W270" s="39"/>
      <c r="X270" s="39"/>
    </row>
    <row r="271" spans="1:24" ht="15.75" customHeight="1" x14ac:dyDescent="0.25">
      <c r="A271" s="53">
        <v>270</v>
      </c>
      <c r="B271" s="56" t="s">
        <v>213</v>
      </c>
      <c r="C271" s="61" t="s">
        <v>9</v>
      </c>
      <c r="D271" s="55">
        <v>4</v>
      </c>
      <c r="E271" s="55">
        <v>6</v>
      </c>
      <c r="F271" s="55" t="s">
        <v>642</v>
      </c>
      <c r="G271" s="55" t="s">
        <v>643</v>
      </c>
      <c r="H271" s="78"/>
      <c r="I271" s="62">
        <v>3.65</v>
      </c>
      <c r="J271" s="49"/>
      <c r="K271" s="49"/>
      <c r="L271" s="69"/>
      <c r="M271" s="69"/>
      <c r="N271" s="69"/>
      <c r="O271" s="69"/>
      <c r="P271" s="69"/>
      <c r="Q271" s="66"/>
      <c r="R271" s="66"/>
      <c r="S271" s="66"/>
      <c r="T271" s="66"/>
      <c r="U271" s="35" t="s">
        <v>239</v>
      </c>
      <c r="V271" s="39"/>
      <c r="W271" s="39"/>
      <c r="X271" s="39"/>
    </row>
    <row r="272" spans="1:24" ht="15.75" customHeight="1" x14ac:dyDescent="0.25">
      <c r="A272" s="53">
        <v>271</v>
      </c>
      <c r="B272" s="56" t="s">
        <v>251</v>
      </c>
      <c r="C272" s="61" t="s">
        <v>9</v>
      </c>
      <c r="D272" s="55">
        <v>3</v>
      </c>
      <c r="E272" s="55">
        <v>5</v>
      </c>
      <c r="F272" s="55" t="s">
        <v>563</v>
      </c>
      <c r="G272" s="55" t="s">
        <v>564</v>
      </c>
      <c r="H272" s="78">
        <v>7.5</v>
      </c>
      <c r="I272" s="92">
        <v>0.63</v>
      </c>
      <c r="J272" s="49">
        <v>1</v>
      </c>
      <c r="K272" s="49">
        <v>1</v>
      </c>
      <c r="L272" s="69"/>
      <c r="M272" s="69"/>
      <c r="N272" s="69"/>
      <c r="O272" s="69"/>
      <c r="P272" s="69"/>
      <c r="Q272" s="66"/>
      <c r="R272" s="66"/>
      <c r="S272" s="66"/>
      <c r="T272" s="66"/>
      <c r="U272" s="35" t="s">
        <v>239</v>
      </c>
      <c r="V272" s="39"/>
      <c r="W272" s="39"/>
      <c r="X272" s="39"/>
    </row>
    <row r="273" spans="1:24" ht="15.75" customHeight="1" x14ac:dyDescent="0.25">
      <c r="A273" s="53">
        <v>272</v>
      </c>
      <c r="B273" s="56" t="s">
        <v>250</v>
      </c>
      <c r="C273" s="61" t="s">
        <v>9</v>
      </c>
      <c r="D273" s="55">
        <v>3</v>
      </c>
      <c r="E273" s="55">
        <v>11</v>
      </c>
      <c r="F273" s="55" t="s">
        <v>469</v>
      </c>
      <c r="G273" s="55" t="s">
        <v>363</v>
      </c>
      <c r="H273" s="78">
        <v>14.5</v>
      </c>
      <c r="I273" s="92">
        <v>3.14</v>
      </c>
      <c r="J273" s="49">
        <v>2</v>
      </c>
      <c r="K273" s="49">
        <v>1</v>
      </c>
      <c r="L273" s="69"/>
      <c r="M273" s="69"/>
      <c r="N273" s="69"/>
      <c r="O273" s="69"/>
      <c r="P273" s="69"/>
      <c r="Q273" s="66"/>
      <c r="R273" s="66"/>
      <c r="S273" s="66"/>
      <c r="T273" s="66"/>
      <c r="U273" s="35" t="s">
        <v>239</v>
      </c>
      <c r="V273" s="39"/>
      <c r="W273" s="39"/>
      <c r="X273" s="39"/>
    </row>
    <row r="274" spans="1:24" ht="15.75" customHeight="1" x14ac:dyDescent="0.25">
      <c r="A274" s="138">
        <v>273</v>
      </c>
      <c r="B274" s="105" t="s">
        <v>210</v>
      </c>
      <c r="C274" s="106" t="s">
        <v>9</v>
      </c>
      <c r="D274" s="114"/>
      <c r="E274" s="114"/>
      <c r="F274" s="114"/>
      <c r="G274" s="114"/>
      <c r="H274" s="108"/>
      <c r="I274" s="126">
        <v>3.68</v>
      </c>
      <c r="J274" s="104"/>
      <c r="K274" s="104"/>
      <c r="L274" s="134"/>
      <c r="M274" s="134"/>
      <c r="N274" s="134"/>
      <c r="O274" s="134"/>
      <c r="P274" s="134"/>
      <c r="Q274" s="112"/>
      <c r="R274" s="112"/>
      <c r="S274" s="112"/>
      <c r="T274" s="112"/>
      <c r="U274" s="35" t="s">
        <v>239</v>
      </c>
      <c r="V274" s="39"/>
      <c r="W274" s="39"/>
      <c r="X274" s="39"/>
    </row>
    <row r="275" spans="1:24" ht="15.75" customHeight="1" x14ac:dyDescent="0.25">
      <c r="A275" s="53">
        <v>274</v>
      </c>
      <c r="B275" s="56" t="s">
        <v>208</v>
      </c>
      <c r="C275" s="61" t="s">
        <v>9</v>
      </c>
      <c r="D275" s="55">
        <v>4</v>
      </c>
      <c r="E275" s="55">
        <v>12</v>
      </c>
      <c r="F275" s="55" t="s">
        <v>616</v>
      </c>
      <c r="G275" s="55" t="s">
        <v>617</v>
      </c>
      <c r="H275" s="78"/>
      <c r="I275" s="92"/>
      <c r="J275" s="49">
        <v>1</v>
      </c>
      <c r="K275" s="49">
        <v>2</v>
      </c>
      <c r="L275" s="56"/>
      <c r="M275" s="56"/>
      <c r="N275" s="56"/>
      <c r="O275" s="56"/>
      <c r="P275" s="56"/>
      <c r="Q275" s="66"/>
      <c r="R275" s="66"/>
      <c r="S275" s="66"/>
      <c r="T275" s="66"/>
      <c r="U275" s="35" t="s">
        <v>239</v>
      </c>
      <c r="V275" s="39"/>
      <c r="W275" s="39"/>
      <c r="X275" s="39"/>
    </row>
    <row r="276" spans="1:24" ht="15.75" customHeight="1" x14ac:dyDescent="0.25">
      <c r="A276" s="107">
        <v>275</v>
      </c>
      <c r="B276" s="105" t="s">
        <v>212</v>
      </c>
      <c r="C276" s="106" t="s">
        <v>9</v>
      </c>
      <c r="D276" s="114"/>
      <c r="E276" s="114"/>
      <c r="F276" s="114"/>
      <c r="G276" s="114"/>
      <c r="H276" s="108">
        <v>16</v>
      </c>
      <c r="I276" s="109">
        <v>4.3499999999999996</v>
      </c>
      <c r="J276" s="104"/>
      <c r="K276" s="104"/>
      <c r="L276" s="134"/>
      <c r="M276" s="134"/>
      <c r="N276" s="134"/>
      <c r="O276" s="134"/>
      <c r="P276" s="134"/>
      <c r="Q276" s="112"/>
      <c r="R276" s="112"/>
      <c r="S276" s="112"/>
      <c r="T276" s="112"/>
      <c r="U276" s="35" t="s">
        <v>239</v>
      </c>
      <c r="V276" s="39"/>
      <c r="W276" s="39"/>
      <c r="X276" s="39"/>
    </row>
    <row r="277" spans="1:24" ht="15.75" customHeight="1" x14ac:dyDescent="0.25">
      <c r="A277" s="107">
        <v>276</v>
      </c>
      <c r="B277" s="105" t="s">
        <v>207</v>
      </c>
      <c r="C277" s="106" t="s">
        <v>9</v>
      </c>
      <c r="D277" s="114"/>
      <c r="E277" s="114"/>
      <c r="F277" s="114"/>
      <c r="G277" s="114"/>
      <c r="H277" s="108"/>
      <c r="I277" s="109"/>
      <c r="J277" s="104"/>
      <c r="K277" s="104"/>
      <c r="L277" s="134"/>
      <c r="M277" s="134"/>
      <c r="N277" s="134"/>
      <c r="O277" s="134"/>
      <c r="P277" s="134"/>
      <c r="Q277" s="112"/>
      <c r="R277" s="112"/>
      <c r="S277" s="112"/>
      <c r="T277" s="112"/>
      <c r="U277" s="35" t="s">
        <v>239</v>
      </c>
      <c r="V277" s="39"/>
      <c r="W277" s="39"/>
      <c r="X277" s="39"/>
    </row>
    <row r="278" spans="1:24" ht="15.75" customHeight="1" x14ac:dyDescent="0.25">
      <c r="A278" s="53">
        <v>277</v>
      </c>
      <c r="B278" s="56" t="s">
        <v>262</v>
      </c>
      <c r="C278" s="61" t="s">
        <v>9</v>
      </c>
      <c r="D278" s="55">
        <v>2</v>
      </c>
      <c r="E278" s="55">
        <v>5</v>
      </c>
      <c r="F278" s="55" t="s">
        <v>483</v>
      </c>
      <c r="G278" s="55" t="s">
        <v>365</v>
      </c>
      <c r="H278" s="78"/>
      <c r="I278" s="92"/>
      <c r="J278" s="49">
        <v>2</v>
      </c>
      <c r="K278" s="49">
        <v>1</v>
      </c>
      <c r="L278" s="56"/>
      <c r="M278" s="56"/>
      <c r="N278" s="56"/>
      <c r="O278" s="56"/>
      <c r="P278" s="56"/>
      <c r="Q278" s="66"/>
      <c r="R278" s="66"/>
      <c r="S278" s="66"/>
      <c r="T278" s="66"/>
      <c r="U278" s="35" t="s">
        <v>239</v>
      </c>
      <c r="V278" s="39"/>
      <c r="W278" s="39"/>
      <c r="X278" s="39"/>
    </row>
    <row r="279" spans="1:24" ht="15.75" customHeight="1" x14ac:dyDescent="0.25">
      <c r="A279" s="107">
        <v>278</v>
      </c>
      <c r="B279" s="105" t="s">
        <v>311</v>
      </c>
      <c r="C279" s="106" t="s">
        <v>9</v>
      </c>
      <c r="D279" s="114"/>
      <c r="E279" s="114"/>
      <c r="F279" s="114"/>
      <c r="G279" s="114"/>
      <c r="H279" s="108">
        <v>16</v>
      </c>
      <c r="I279" s="109">
        <v>3.75</v>
      </c>
      <c r="J279" s="104"/>
      <c r="K279" s="104"/>
      <c r="L279" s="105"/>
      <c r="M279" s="105"/>
      <c r="N279" s="105"/>
      <c r="O279" s="105"/>
      <c r="P279" s="105"/>
      <c r="Q279" s="112"/>
      <c r="R279" s="112"/>
      <c r="S279" s="112"/>
      <c r="T279" s="112"/>
      <c r="U279" s="35" t="s">
        <v>239</v>
      </c>
      <c r="V279" s="39"/>
      <c r="W279" s="39"/>
      <c r="X279" s="39"/>
    </row>
    <row r="280" spans="1:24" ht="15.75" customHeight="1" x14ac:dyDescent="0.25">
      <c r="A280" s="107">
        <v>279</v>
      </c>
      <c r="B280" s="105" t="s">
        <v>312</v>
      </c>
      <c r="C280" s="106" t="s">
        <v>9</v>
      </c>
      <c r="D280" s="114"/>
      <c r="E280" s="114"/>
      <c r="F280" s="114"/>
      <c r="G280" s="114"/>
      <c r="H280" s="108">
        <v>16</v>
      </c>
      <c r="I280" s="109">
        <v>2.0699999999999998</v>
      </c>
      <c r="J280" s="104"/>
      <c r="K280" s="104"/>
      <c r="L280" s="105"/>
      <c r="M280" s="105"/>
      <c r="N280" s="105"/>
      <c r="O280" s="105"/>
      <c r="P280" s="105"/>
      <c r="Q280" s="112"/>
      <c r="R280" s="112"/>
      <c r="S280" s="112"/>
      <c r="T280" s="112"/>
      <c r="U280" s="35" t="s">
        <v>239</v>
      </c>
      <c r="V280" s="39"/>
      <c r="W280" s="39"/>
      <c r="X280" s="39"/>
    </row>
    <row r="281" spans="1:24" ht="15.75" customHeight="1" x14ac:dyDescent="0.25">
      <c r="A281" s="53">
        <v>280</v>
      </c>
      <c r="B281" s="56" t="s">
        <v>313</v>
      </c>
      <c r="C281" s="61" t="s">
        <v>9</v>
      </c>
      <c r="D281" s="55">
        <v>2</v>
      </c>
      <c r="E281" s="55">
        <v>5</v>
      </c>
      <c r="F281" s="55" t="s">
        <v>576</v>
      </c>
      <c r="G281" s="55" t="s">
        <v>575</v>
      </c>
      <c r="H281" s="78"/>
      <c r="I281" s="62"/>
      <c r="J281" s="49"/>
      <c r="K281" s="49"/>
      <c r="L281" s="66"/>
      <c r="M281" s="66"/>
      <c r="N281" s="66"/>
      <c r="O281" s="66"/>
      <c r="P281" s="66"/>
      <c r="Q281" s="66"/>
      <c r="R281" s="66"/>
      <c r="S281" s="66"/>
      <c r="T281" s="66"/>
      <c r="U281" s="35" t="s">
        <v>239</v>
      </c>
      <c r="V281" s="39"/>
      <c r="W281" s="39"/>
      <c r="X281" s="39"/>
    </row>
    <row r="282" spans="1:24" ht="15.75" customHeight="1" x14ac:dyDescent="0.25">
      <c r="A282" s="107">
        <v>281</v>
      </c>
      <c r="B282" s="105" t="s">
        <v>314</v>
      </c>
      <c r="C282" s="106" t="s">
        <v>9</v>
      </c>
      <c r="D282" s="114"/>
      <c r="E282" s="114"/>
      <c r="F282" s="114"/>
      <c r="G282" s="114"/>
      <c r="H282" s="108"/>
      <c r="I282" s="109">
        <v>4.43</v>
      </c>
      <c r="J282" s="104"/>
      <c r="K282" s="104"/>
      <c r="L282" s="112"/>
      <c r="M282" s="112"/>
      <c r="N282" s="112"/>
      <c r="O282" s="112"/>
      <c r="P282" s="112"/>
      <c r="Q282" s="112"/>
      <c r="R282" s="112"/>
      <c r="S282" s="112"/>
      <c r="T282" s="112"/>
      <c r="U282" s="35" t="s">
        <v>239</v>
      </c>
      <c r="V282" s="39"/>
      <c r="W282" s="39"/>
      <c r="X282" s="39"/>
    </row>
    <row r="283" spans="1:24" ht="15.75" customHeight="1" x14ac:dyDescent="0.25">
      <c r="A283" s="53">
        <v>282</v>
      </c>
      <c r="B283" s="56" t="s">
        <v>315</v>
      </c>
      <c r="C283" s="61" t="s">
        <v>9</v>
      </c>
      <c r="D283" s="55">
        <v>3</v>
      </c>
      <c r="E283" s="55">
        <v>17</v>
      </c>
      <c r="F283" s="55" t="s">
        <v>570</v>
      </c>
      <c r="G283" s="55" t="s">
        <v>564</v>
      </c>
      <c r="H283" s="78"/>
      <c r="I283" s="92"/>
      <c r="J283" s="49">
        <v>2</v>
      </c>
      <c r="K283" s="49">
        <v>1</v>
      </c>
      <c r="L283" s="66"/>
      <c r="M283" s="66"/>
      <c r="N283" s="66"/>
      <c r="O283" s="66"/>
      <c r="P283" s="66"/>
      <c r="Q283" s="66"/>
      <c r="R283" s="66"/>
      <c r="S283" s="66"/>
      <c r="T283" s="66"/>
      <c r="U283" s="35" t="s">
        <v>239</v>
      </c>
      <c r="V283" s="39"/>
      <c r="W283" s="39"/>
      <c r="X283" s="39"/>
    </row>
    <row r="284" spans="1:24" ht="15.75" customHeight="1" x14ac:dyDescent="0.25">
      <c r="A284" s="53">
        <v>283</v>
      </c>
      <c r="B284" s="56" t="s">
        <v>316</v>
      </c>
      <c r="C284" s="61" t="s">
        <v>9</v>
      </c>
      <c r="D284" s="55">
        <v>4</v>
      </c>
      <c r="E284" s="55">
        <v>18</v>
      </c>
      <c r="F284" s="55" t="s">
        <v>584</v>
      </c>
      <c r="G284" s="55" t="s">
        <v>585</v>
      </c>
      <c r="H284" s="78">
        <v>16</v>
      </c>
      <c r="I284" s="92">
        <v>4.87</v>
      </c>
      <c r="J284" s="49">
        <v>1</v>
      </c>
      <c r="K284" s="49">
        <v>1</v>
      </c>
      <c r="L284" s="66"/>
      <c r="M284" s="66"/>
      <c r="N284" s="56"/>
      <c r="O284" s="66"/>
      <c r="P284" s="66"/>
      <c r="Q284" s="66"/>
      <c r="R284" s="66"/>
      <c r="S284" s="66"/>
      <c r="T284" s="66"/>
      <c r="U284" s="35" t="s">
        <v>239</v>
      </c>
      <c r="V284" s="39"/>
      <c r="W284" s="39"/>
      <c r="X284" s="39"/>
    </row>
    <row r="285" spans="1:24" ht="15.75" customHeight="1" x14ac:dyDescent="0.25">
      <c r="A285" s="53">
        <v>284</v>
      </c>
      <c r="B285" s="56" t="s">
        <v>362</v>
      </c>
      <c r="C285" s="61" t="s">
        <v>9</v>
      </c>
      <c r="D285" s="55">
        <v>4</v>
      </c>
      <c r="E285" s="55">
        <v>4</v>
      </c>
      <c r="F285" s="55" t="s">
        <v>536</v>
      </c>
      <c r="G285" s="55" t="s">
        <v>533</v>
      </c>
      <c r="H285" s="78">
        <v>16</v>
      </c>
      <c r="I285" s="92">
        <v>4.32</v>
      </c>
      <c r="J285" s="49"/>
      <c r="K285" s="49"/>
      <c r="L285" s="66"/>
      <c r="M285" s="66"/>
      <c r="N285" s="66"/>
      <c r="O285" s="66"/>
      <c r="P285" s="66"/>
      <c r="Q285" s="66"/>
      <c r="R285" s="66"/>
      <c r="S285" s="66"/>
      <c r="T285" s="66"/>
      <c r="U285" s="35" t="s">
        <v>239</v>
      </c>
      <c r="V285" s="39"/>
      <c r="W285" s="39"/>
      <c r="X285" s="39"/>
    </row>
    <row r="286" spans="1:24" ht="15.75" customHeight="1" x14ac:dyDescent="0.25">
      <c r="A286" s="53">
        <v>285</v>
      </c>
      <c r="B286" s="56" t="s">
        <v>384</v>
      </c>
      <c r="C286" s="61" t="s">
        <v>9</v>
      </c>
      <c r="D286" s="55">
        <v>3</v>
      </c>
      <c r="E286" s="55">
        <v>7</v>
      </c>
      <c r="F286" s="55" t="s">
        <v>612</v>
      </c>
      <c r="G286" s="55" t="s">
        <v>607</v>
      </c>
      <c r="H286" s="78"/>
      <c r="I286" s="92">
        <v>2.08</v>
      </c>
      <c r="J286" s="49"/>
      <c r="K286" s="49"/>
      <c r="L286" s="66"/>
      <c r="M286" s="66"/>
      <c r="N286" s="66"/>
      <c r="O286" s="66"/>
      <c r="P286" s="66"/>
      <c r="Q286" s="66"/>
      <c r="R286" s="66"/>
      <c r="S286" s="66"/>
      <c r="T286" s="66"/>
      <c r="U286" s="35" t="s">
        <v>239</v>
      </c>
      <c r="V286" s="39"/>
      <c r="W286" s="39"/>
      <c r="X286" s="39"/>
    </row>
    <row r="287" spans="1:24" ht="15.75" customHeight="1" x14ac:dyDescent="0.25">
      <c r="A287" s="53">
        <v>286</v>
      </c>
      <c r="B287" s="56" t="s">
        <v>714</v>
      </c>
      <c r="C287" s="61" t="s">
        <v>9</v>
      </c>
      <c r="D287" s="55">
        <v>1</v>
      </c>
      <c r="E287" s="55">
        <v>3</v>
      </c>
      <c r="F287" s="55" t="s">
        <v>715</v>
      </c>
      <c r="G287" s="55" t="s">
        <v>716</v>
      </c>
      <c r="H287" s="78">
        <v>16</v>
      </c>
      <c r="I287" s="92">
        <v>2.6</v>
      </c>
      <c r="J287" s="49"/>
      <c r="K287" s="49"/>
      <c r="L287" s="66"/>
      <c r="M287" s="66"/>
      <c r="N287" s="66"/>
      <c r="O287" s="66"/>
      <c r="P287" s="66"/>
      <c r="Q287" s="66"/>
      <c r="R287" s="66"/>
      <c r="S287" s="66"/>
      <c r="T287" s="66"/>
      <c r="U287" s="35"/>
      <c r="V287" s="39"/>
      <c r="W287" s="39"/>
      <c r="X287" s="39"/>
    </row>
    <row r="288" spans="1:24" ht="15.75" customHeight="1" x14ac:dyDescent="0.25">
      <c r="A288" s="53">
        <v>287</v>
      </c>
      <c r="B288" s="56" t="s">
        <v>730</v>
      </c>
      <c r="C288" s="61" t="s">
        <v>9</v>
      </c>
      <c r="D288" s="55">
        <v>8</v>
      </c>
      <c r="E288" s="55">
        <v>8</v>
      </c>
      <c r="F288" s="55" t="s">
        <v>731</v>
      </c>
      <c r="G288" s="55" t="s">
        <v>365</v>
      </c>
      <c r="H288" s="78"/>
      <c r="I288" s="92">
        <v>2.2200000000000002</v>
      </c>
      <c r="J288" s="49"/>
      <c r="K288" s="49"/>
      <c r="L288" s="66"/>
      <c r="M288" s="66"/>
      <c r="N288" s="66"/>
      <c r="O288" s="66"/>
      <c r="P288" s="66"/>
      <c r="Q288" s="66"/>
      <c r="R288" s="66"/>
      <c r="S288" s="66"/>
      <c r="T288" s="66"/>
      <c r="U288" s="35"/>
      <c r="V288" s="39"/>
      <c r="W288" s="39"/>
      <c r="X288" s="39"/>
    </row>
    <row r="289" spans="1:24" ht="15.75" customHeight="1" x14ac:dyDescent="0.25">
      <c r="A289" s="53">
        <v>288</v>
      </c>
      <c r="B289" s="56" t="s">
        <v>773</v>
      </c>
      <c r="C289" s="61" t="s">
        <v>9</v>
      </c>
      <c r="D289" s="55">
        <v>1</v>
      </c>
      <c r="E289" s="55">
        <v>4</v>
      </c>
      <c r="F289" s="55" t="s">
        <v>774</v>
      </c>
      <c r="G289" s="55" t="s">
        <v>631</v>
      </c>
      <c r="H289" s="78"/>
      <c r="I289" s="92">
        <v>5</v>
      </c>
      <c r="J289" s="49"/>
      <c r="K289" s="49"/>
      <c r="L289" s="66"/>
      <c r="M289" s="66"/>
      <c r="N289" s="66"/>
      <c r="O289" s="66"/>
      <c r="P289" s="66"/>
      <c r="Q289" s="66"/>
      <c r="R289" s="66"/>
      <c r="S289" s="66"/>
      <c r="T289" s="66"/>
      <c r="U289" s="35"/>
      <c r="V289" s="39"/>
      <c r="W289" s="39"/>
      <c r="X289" s="39"/>
    </row>
    <row r="290" spans="1:24" ht="15.75" customHeight="1" x14ac:dyDescent="0.25">
      <c r="A290" s="53">
        <v>289</v>
      </c>
      <c r="B290" s="56" t="s">
        <v>790</v>
      </c>
      <c r="C290" s="61" t="s">
        <v>9</v>
      </c>
      <c r="D290" s="55">
        <v>2</v>
      </c>
      <c r="E290" s="55">
        <v>7</v>
      </c>
      <c r="F290" s="55" t="s">
        <v>791</v>
      </c>
      <c r="G290" s="55" t="s">
        <v>792</v>
      </c>
      <c r="H290" s="78"/>
      <c r="I290" s="92">
        <v>2.3199999999999998</v>
      </c>
      <c r="J290" s="49"/>
      <c r="K290" s="49"/>
      <c r="L290" s="66"/>
      <c r="M290" s="66"/>
      <c r="N290" s="66"/>
      <c r="O290" s="66"/>
      <c r="P290" s="66"/>
      <c r="Q290" s="66"/>
      <c r="R290" s="66"/>
      <c r="S290" s="66"/>
      <c r="T290" s="66"/>
      <c r="U290" s="35"/>
      <c r="V290" s="39"/>
      <c r="W290" s="39"/>
      <c r="X290" s="39"/>
    </row>
    <row r="291" spans="1:24" ht="15.75" customHeight="1" x14ac:dyDescent="0.25">
      <c r="A291" s="53">
        <v>290</v>
      </c>
      <c r="B291" s="56" t="s">
        <v>276</v>
      </c>
      <c r="C291" s="61" t="s">
        <v>261</v>
      </c>
      <c r="D291" s="55">
        <v>1</v>
      </c>
      <c r="E291" s="55">
        <v>4</v>
      </c>
      <c r="F291" s="55" t="s">
        <v>654</v>
      </c>
      <c r="G291" s="55" t="s">
        <v>655</v>
      </c>
      <c r="H291" s="78"/>
      <c r="I291" s="62">
        <v>4.3899999999999997</v>
      </c>
      <c r="J291" s="49"/>
      <c r="K291" s="49"/>
      <c r="L291" s="66"/>
      <c r="M291" s="66"/>
      <c r="N291" s="66"/>
      <c r="O291" s="66"/>
      <c r="P291" s="66"/>
      <c r="Q291" s="66"/>
      <c r="R291" s="66"/>
      <c r="S291" s="66"/>
      <c r="T291" s="66"/>
      <c r="U291" s="35" t="s">
        <v>239</v>
      </c>
      <c r="V291" s="39"/>
      <c r="W291" s="39"/>
      <c r="X291" s="39"/>
    </row>
    <row r="292" spans="1:24" ht="15.75" customHeight="1" x14ac:dyDescent="0.25">
      <c r="A292" s="107">
        <v>291</v>
      </c>
      <c r="B292" s="105" t="s">
        <v>277</v>
      </c>
      <c r="C292" s="106" t="s">
        <v>261</v>
      </c>
      <c r="D292" s="114"/>
      <c r="E292" s="114"/>
      <c r="F292" s="114"/>
      <c r="G292" s="114"/>
      <c r="H292" s="108">
        <v>16</v>
      </c>
      <c r="I292" s="109">
        <v>4.07</v>
      </c>
      <c r="J292" s="104"/>
      <c r="K292" s="104"/>
      <c r="L292" s="112"/>
      <c r="M292" s="112"/>
      <c r="N292" s="112"/>
      <c r="O292" s="112"/>
      <c r="P292" s="112"/>
      <c r="Q292" s="112"/>
      <c r="R292" s="112"/>
      <c r="S292" s="112"/>
      <c r="T292" s="112"/>
      <c r="U292" s="35" t="s">
        <v>239</v>
      </c>
      <c r="V292" s="39"/>
      <c r="W292" s="39"/>
      <c r="X292" s="39"/>
    </row>
    <row r="293" spans="1:24" ht="15.75" customHeight="1" x14ac:dyDescent="0.25">
      <c r="A293" s="53">
        <v>292</v>
      </c>
      <c r="B293" s="56" t="s">
        <v>272</v>
      </c>
      <c r="C293" s="61" t="s">
        <v>261</v>
      </c>
      <c r="D293" s="55">
        <v>1</v>
      </c>
      <c r="E293" s="55">
        <v>8</v>
      </c>
      <c r="F293" s="55" t="s">
        <v>697</v>
      </c>
      <c r="G293" s="55" t="s">
        <v>477</v>
      </c>
      <c r="H293" s="78"/>
      <c r="I293" s="92"/>
      <c r="J293" s="49"/>
      <c r="K293" s="49"/>
      <c r="L293" s="69"/>
      <c r="M293" s="69"/>
      <c r="N293" s="69"/>
      <c r="O293" s="69"/>
      <c r="P293" s="69"/>
      <c r="Q293" s="66"/>
      <c r="R293" s="66"/>
      <c r="S293" s="66"/>
      <c r="T293" s="66"/>
      <c r="U293" s="35" t="s">
        <v>239</v>
      </c>
      <c r="V293" s="39"/>
      <c r="W293" s="39"/>
      <c r="X293" s="39"/>
    </row>
    <row r="294" spans="1:24" ht="15.75" customHeight="1" x14ac:dyDescent="0.25">
      <c r="A294" s="107">
        <v>293</v>
      </c>
      <c r="B294" s="105" t="s">
        <v>278</v>
      </c>
      <c r="C294" s="106" t="s">
        <v>261</v>
      </c>
      <c r="D294" s="114"/>
      <c r="E294" s="114"/>
      <c r="F294" s="114"/>
      <c r="G294" s="114"/>
      <c r="H294" s="108">
        <v>16</v>
      </c>
      <c r="I294" s="126">
        <v>4.57</v>
      </c>
      <c r="J294" s="104"/>
      <c r="K294" s="104"/>
      <c r="L294" s="134"/>
      <c r="M294" s="134"/>
      <c r="N294" s="134"/>
      <c r="O294" s="134"/>
      <c r="P294" s="134"/>
      <c r="Q294" s="134"/>
      <c r="R294" s="134"/>
      <c r="S294" s="134"/>
      <c r="T294" s="134"/>
      <c r="U294" s="35" t="s">
        <v>239</v>
      </c>
      <c r="V294" s="39"/>
      <c r="W294" s="39"/>
      <c r="X294" s="39"/>
    </row>
    <row r="295" spans="1:24" ht="15.75" customHeight="1" x14ac:dyDescent="0.25">
      <c r="A295" s="53">
        <v>294</v>
      </c>
      <c r="B295" s="56" t="s">
        <v>279</v>
      </c>
      <c r="C295" s="61" t="s">
        <v>261</v>
      </c>
      <c r="D295" s="55">
        <v>2</v>
      </c>
      <c r="E295" s="55">
        <v>4</v>
      </c>
      <c r="F295" s="55" t="s">
        <v>632</v>
      </c>
      <c r="G295" s="55" t="s">
        <v>631</v>
      </c>
      <c r="H295" s="78"/>
      <c r="I295" s="92"/>
      <c r="J295" s="49"/>
      <c r="K295" s="49"/>
      <c r="L295" s="69"/>
      <c r="M295" s="69"/>
      <c r="N295" s="69"/>
      <c r="O295" s="69"/>
      <c r="P295" s="69"/>
      <c r="Q295" s="66"/>
      <c r="R295" s="66"/>
      <c r="S295" s="66"/>
      <c r="T295" s="66"/>
      <c r="U295" s="35" t="s">
        <v>239</v>
      </c>
      <c r="V295" s="39"/>
      <c r="W295" s="39"/>
      <c r="X295" s="39"/>
    </row>
    <row r="296" spans="1:24" ht="15.75" customHeight="1" x14ac:dyDescent="0.25">
      <c r="A296" s="53">
        <v>295</v>
      </c>
      <c r="B296" s="56" t="s">
        <v>273</v>
      </c>
      <c r="C296" s="61" t="s">
        <v>261</v>
      </c>
      <c r="D296" s="55">
        <v>1</v>
      </c>
      <c r="E296" s="55">
        <v>10</v>
      </c>
      <c r="F296" s="55" t="s">
        <v>580</v>
      </c>
      <c r="G296" s="55" t="s">
        <v>579</v>
      </c>
      <c r="H296" s="78">
        <v>11</v>
      </c>
      <c r="I296" s="92">
        <v>1.46</v>
      </c>
      <c r="J296" s="49"/>
      <c r="K296" s="49"/>
      <c r="L296" s="69"/>
      <c r="M296" s="69"/>
      <c r="N296" s="69"/>
      <c r="O296" s="69"/>
      <c r="P296" s="69"/>
      <c r="Q296" s="66"/>
      <c r="R296" s="66"/>
      <c r="S296" s="66"/>
      <c r="T296" s="66"/>
      <c r="U296" s="35" t="s">
        <v>239</v>
      </c>
      <c r="V296" s="39"/>
      <c r="W296" s="39"/>
      <c r="X296" s="39"/>
    </row>
    <row r="297" spans="1:24" ht="15.75" customHeight="1" x14ac:dyDescent="0.25">
      <c r="A297" s="53">
        <v>296</v>
      </c>
      <c r="B297" s="56" t="s">
        <v>274</v>
      </c>
      <c r="C297" s="61" t="s">
        <v>261</v>
      </c>
      <c r="D297" s="55">
        <v>1</v>
      </c>
      <c r="E297" s="55">
        <v>3</v>
      </c>
      <c r="F297" s="55" t="s">
        <v>610</v>
      </c>
      <c r="G297" s="55" t="s">
        <v>607</v>
      </c>
      <c r="H297" s="78">
        <v>16</v>
      </c>
      <c r="I297" s="62">
        <v>4.79</v>
      </c>
      <c r="J297" s="49"/>
      <c r="K297" s="49"/>
      <c r="L297" s="69"/>
      <c r="M297" s="69"/>
      <c r="N297" s="69"/>
      <c r="O297" s="69"/>
      <c r="P297" s="69"/>
      <c r="Q297" s="66"/>
      <c r="R297" s="66"/>
      <c r="S297" s="66"/>
      <c r="T297" s="66"/>
      <c r="U297" s="35" t="s">
        <v>239</v>
      </c>
      <c r="V297" s="39"/>
      <c r="W297" s="39"/>
      <c r="X297" s="39"/>
    </row>
    <row r="298" spans="1:24" ht="15.75" customHeight="1" x14ac:dyDescent="0.25">
      <c r="A298" s="53">
        <v>297</v>
      </c>
      <c r="B298" s="56" t="s">
        <v>283</v>
      </c>
      <c r="C298" s="61" t="s">
        <v>261</v>
      </c>
      <c r="D298" s="55">
        <v>1</v>
      </c>
      <c r="E298" s="55">
        <v>4</v>
      </c>
      <c r="F298" s="55" t="s">
        <v>608</v>
      </c>
      <c r="G298" s="55" t="s">
        <v>607</v>
      </c>
      <c r="H298" s="78">
        <v>16</v>
      </c>
      <c r="I298" s="92">
        <v>4.3600000000000003</v>
      </c>
      <c r="J298" s="49"/>
      <c r="K298" s="49"/>
      <c r="L298" s="56"/>
      <c r="M298" s="56"/>
      <c r="N298" s="56"/>
      <c r="O298" s="56"/>
      <c r="P298" s="56"/>
      <c r="Q298" s="66"/>
      <c r="R298" s="66"/>
      <c r="S298" s="66"/>
      <c r="T298" s="66"/>
      <c r="U298" s="35" t="s">
        <v>239</v>
      </c>
      <c r="V298" s="39"/>
      <c r="W298" s="39"/>
      <c r="X298" s="39"/>
    </row>
    <row r="299" spans="1:24" ht="15.75" customHeight="1" x14ac:dyDescent="0.25">
      <c r="A299" s="53">
        <v>298</v>
      </c>
      <c r="B299" s="56" t="s">
        <v>294</v>
      </c>
      <c r="C299" s="61" t="s">
        <v>293</v>
      </c>
      <c r="D299" s="55">
        <v>4</v>
      </c>
      <c r="E299" s="55">
        <v>9</v>
      </c>
      <c r="F299" s="55" t="s">
        <v>628</v>
      </c>
      <c r="G299" s="55" t="s">
        <v>625</v>
      </c>
      <c r="H299" s="78">
        <v>15.5</v>
      </c>
      <c r="I299" s="92">
        <v>4.71</v>
      </c>
      <c r="J299" s="49">
        <v>1</v>
      </c>
      <c r="K299" s="49">
        <v>1</v>
      </c>
      <c r="L299" s="56"/>
      <c r="M299" s="56"/>
      <c r="N299" s="56"/>
      <c r="O299" s="56"/>
      <c r="P299" s="56"/>
      <c r="Q299" s="66"/>
      <c r="R299" s="66"/>
      <c r="S299" s="66"/>
      <c r="T299" s="66"/>
      <c r="U299" s="35" t="s">
        <v>239</v>
      </c>
      <c r="V299" s="39"/>
      <c r="W299" s="39"/>
      <c r="X299" s="39"/>
    </row>
    <row r="300" spans="1:24" ht="15.75" customHeight="1" x14ac:dyDescent="0.25">
      <c r="A300" s="53">
        <v>299</v>
      </c>
      <c r="B300" s="56" t="s">
        <v>295</v>
      </c>
      <c r="C300" s="61" t="s">
        <v>293</v>
      </c>
      <c r="D300" s="55">
        <v>5</v>
      </c>
      <c r="E300" s="55">
        <v>8</v>
      </c>
      <c r="F300" s="55" t="s">
        <v>458</v>
      </c>
      <c r="G300" s="55" t="s">
        <v>358</v>
      </c>
      <c r="H300" s="78"/>
      <c r="I300" s="92">
        <v>2.5099999999999998</v>
      </c>
      <c r="J300" s="49">
        <v>1</v>
      </c>
      <c r="K300" s="49">
        <v>1</v>
      </c>
      <c r="L300" s="56"/>
      <c r="M300" s="56"/>
      <c r="N300" s="56"/>
      <c r="O300" s="56"/>
      <c r="P300" s="56"/>
      <c r="Q300" s="66"/>
      <c r="R300" s="66"/>
      <c r="S300" s="66"/>
      <c r="T300" s="66"/>
      <c r="U300" s="35" t="s">
        <v>239</v>
      </c>
      <c r="V300" s="39"/>
      <c r="W300" s="39"/>
      <c r="X300" s="39"/>
    </row>
    <row r="301" spans="1:24" ht="15.75" customHeight="1" x14ac:dyDescent="0.25">
      <c r="A301" s="53">
        <v>300</v>
      </c>
      <c r="B301" s="56" t="s">
        <v>296</v>
      </c>
      <c r="C301" s="61" t="s">
        <v>293</v>
      </c>
      <c r="D301" s="55">
        <v>6</v>
      </c>
      <c r="E301" s="55">
        <v>18</v>
      </c>
      <c r="F301" s="55" t="s">
        <v>592</v>
      </c>
      <c r="G301" s="55" t="s">
        <v>593</v>
      </c>
      <c r="H301" s="78"/>
      <c r="I301" s="92">
        <v>4.75</v>
      </c>
      <c r="J301" s="49">
        <v>1</v>
      </c>
      <c r="K301" s="49">
        <v>1</v>
      </c>
      <c r="L301" s="69"/>
      <c r="M301" s="69"/>
      <c r="N301" s="69"/>
      <c r="O301" s="69"/>
      <c r="P301" s="69"/>
      <c r="Q301" s="66"/>
      <c r="R301" s="66"/>
      <c r="S301" s="66"/>
      <c r="T301" s="66"/>
      <c r="U301" s="35" t="s">
        <v>239</v>
      </c>
      <c r="V301" s="39"/>
      <c r="W301" s="39"/>
      <c r="X301" s="39"/>
    </row>
    <row r="302" spans="1:24" ht="15.75" customHeight="1" x14ac:dyDescent="0.25">
      <c r="A302" s="53">
        <v>301</v>
      </c>
      <c r="B302" s="56" t="s">
        <v>372</v>
      </c>
      <c r="C302" s="61" t="s">
        <v>293</v>
      </c>
      <c r="D302" s="55">
        <v>7</v>
      </c>
      <c r="E302" s="55">
        <v>10</v>
      </c>
      <c r="F302" s="55" t="s">
        <v>490</v>
      </c>
      <c r="G302" s="55" t="s">
        <v>367</v>
      </c>
      <c r="H302" s="78">
        <v>14.91</v>
      </c>
      <c r="I302" s="74">
        <v>4.3499999999999996</v>
      </c>
      <c r="J302" s="49">
        <v>1</v>
      </c>
      <c r="K302" s="49">
        <v>0</v>
      </c>
      <c r="L302" s="57"/>
      <c r="M302" s="57"/>
      <c r="N302" s="57"/>
      <c r="O302" s="57"/>
      <c r="P302" s="56"/>
      <c r="Q302" s="66"/>
      <c r="R302" s="66"/>
      <c r="S302" s="66"/>
      <c r="T302" s="66"/>
      <c r="U302" s="35" t="s">
        <v>239</v>
      </c>
      <c r="V302" s="39"/>
      <c r="W302" s="39"/>
      <c r="X302" s="39"/>
    </row>
    <row r="303" spans="1:24" ht="15.75" customHeight="1" x14ac:dyDescent="0.25">
      <c r="A303" s="53">
        <v>302</v>
      </c>
      <c r="B303" s="56" t="s">
        <v>397</v>
      </c>
      <c r="C303" s="61" t="s">
        <v>293</v>
      </c>
      <c r="D303" s="55">
        <v>4</v>
      </c>
      <c r="E303" s="55">
        <v>8</v>
      </c>
      <c r="F303" s="55" t="s">
        <v>663</v>
      </c>
      <c r="G303" s="55" t="s">
        <v>664</v>
      </c>
      <c r="H303" s="78"/>
      <c r="I303" s="92">
        <v>3.71</v>
      </c>
      <c r="J303" s="49">
        <v>1</v>
      </c>
      <c r="K303" s="49">
        <v>2</v>
      </c>
      <c r="L303" s="69"/>
      <c r="M303" s="69"/>
      <c r="N303" s="69"/>
      <c r="O303" s="69"/>
      <c r="P303" s="69"/>
      <c r="Q303" s="66"/>
      <c r="R303" s="66"/>
      <c r="S303" s="66"/>
      <c r="T303" s="66"/>
      <c r="U303" s="35" t="s">
        <v>239</v>
      </c>
      <c r="V303" s="39"/>
      <c r="W303" s="39"/>
      <c r="X303" s="39"/>
    </row>
    <row r="304" spans="1:24" ht="15.75" customHeight="1" x14ac:dyDescent="0.25">
      <c r="A304" s="53">
        <v>303</v>
      </c>
      <c r="B304" s="56" t="s">
        <v>396</v>
      </c>
      <c r="C304" s="61" t="s">
        <v>293</v>
      </c>
      <c r="D304" s="55">
        <v>3</v>
      </c>
      <c r="E304" s="55">
        <v>7</v>
      </c>
      <c r="F304" s="55" t="s">
        <v>488</v>
      </c>
      <c r="G304" s="55" t="s">
        <v>367</v>
      </c>
      <c r="H304" s="78">
        <v>15.3</v>
      </c>
      <c r="I304" s="92">
        <v>4.54</v>
      </c>
      <c r="J304" s="49">
        <v>1</v>
      </c>
      <c r="K304" s="49">
        <v>1</v>
      </c>
      <c r="L304" s="69"/>
      <c r="M304" s="69"/>
      <c r="N304" s="69"/>
      <c r="O304" s="69"/>
      <c r="P304" s="69"/>
      <c r="Q304" s="66"/>
      <c r="R304" s="66"/>
      <c r="S304" s="66"/>
      <c r="T304" s="66"/>
      <c r="U304" s="35" t="s">
        <v>239</v>
      </c>
      <c r="V304" s="39"/>
      <c r="W304" s="39"/>
      <c r="X304" s="39"/>
    </row>
    <row r="305" spans="1:24" ht="15.75" customHeight="1" x14ac:dyDescent="0.25">
      <c r="A305" s="53">
        <v>304</v>
      </c>
      <c r="B305" s="56" t="s">
        <v>777</v>
      </c>
      <c r="C305" s="61" t="s">
        <v>293</v>
      </c>
      <c r="D305" s="55">
        <v>6</v>
      </c>
      <c r="E305" s="55">
        <v>8</v>
      </c>
      <c r="F305" s="55" t="s">
        <v>778</v>
      </c>
      <c r="G305" s="55" t="s">
        <v>556</v>
      </c>
      <c r="H305" s="78">
        <v>15.5</v>
      </c>
      <c r="I305" s="92">
        <v>2.89</v>
      </c>
      <c r="J305" s="49">
        <v>3</v>
      </c>
      <c r="K305" s="49">
        <v>2</v>
      </c>
      <c r="L305" s="69"/>
      <c r="M305" s="69"/>
      <c r="N305" s="69"/>
      <c r="O305" s="69"/>
      <c r="P305" s="69"/>
      <c r="Q305" s="66"/>
      <c r="R305" s="66"/>
      <c r="S305" s="66"/>
      <c r="T305" s="66"/>
      <c r="U305" s="35"/>
      <c r="V305" s="39"/>
      <c r="W305" s="39"/>
      <c r="X305" s="39"/>
    </row>
    <row r="306" spans="1:24" ht="15.75" customHeight="1" x14ac:dyDescent="0.25">
      <c r="A306" s="53">
        <v>305</v>
      </c>
      <c r="B306" s="57" t="s">
        <v>395</v>
      </c>
      <c r="C306" s="71" t="s">
        <v>297</v>
      </c>
      <c r="D306" s="55">
        <v>4</v>
      </c>
      <c r="E306" s="55">
        <v>9</v>
      </c>
      <c r="F306" s="55" t="s">
        <v>620</v>
      </c>
      <c r="G306" s="55" t="s">
        <v>617</v>
      </c>
      <c r="H306" s="78">
        <v>16</v>
      </c>
      <c r="I306" s="92">
        <v>5</v>
      </c>
      <c r="J306" s="49">
        <v>4</v>
      </c>
      <c r="K306" s="49">
        <v>1</v>
      </c>
      <c r="L306" s="69"/>
      <c r="M306" s="69"/>
      <c r="N306" s="69"/>
      <c r="O306" s="69"/>
      <c r="P306" s="69"/>
      <c r="Q306" s="66"/>
      <c r="R306" s="66"/>
      <c r="S306" s="66"/>
      <c r="T306" s="66"/>
      <c r="U306" s="35" t="s">
        <v>239</v>
      </c>
      <c r="V306" s="39"/>
      <c r="W306" s="39"/>
      <c r="X306" s="39"/>
    </row>
    <row r="307" spans="1:24" ht="15.75" customHeight="1" x14ac:dyDescent="0.25">
      <c r="A307" s="53">
        <v>306</v>
      </c>
      <c r="B307" s="57" t="s">
        <v>298</v>
      </c>
      <c r="C307" s="71" t="s">
        <v>297</v>
      </c>
      <c r="D307" s="49">
        <v>2</v>
      </c>
      <c r="E307" s="49">
        <v>2</v>
      </c>
      <c r="F307" s="49" t="s">
        <v>418</v>
      </c>
      <c r="G307" s="78" t="s">
        <v>342</v>
      </c>
      <c r="H307" s="90"/>
      <c r="I307" s="92">
        <v>4.17</v>
      </c>
      <c r="J307" s="49">
        <v>1</v>
      </c>
      <c r="K307" s="49">
        <v>1</v>
      </c>
      <c r="L307" s="69"/>
      <c r="M307" s="69"/>
      <c r="N307" s="69"/>
      <c r="O307" s="69"/>
      <c r="P307" s="69"/>
      <c r="Q307" s="66"/>
      <c r="R307" s="66"/>
      <c r="S307" s="66"/>
      <c r="T307" s="66"/>
      <c r="U307" s="35" t="s">
        <v>239</v>
      </c>
      <c r="V307" s="39"/>
      <c r="W307" s="39"/>
      <c r="X307" s="39"/>
    </row>
    <row r="308" spans="1:24" ht="15.75" customHeight="1" x14ac:dyDescent="0.25">
      <c r="A308" s="53">
        <v>307</v>
      </c>
      <c r="B308" s="71" t="s">
        <v>717</v>
      </c>
      <c r="C308" s="71" t="s">
        <v>297</v>
      </c>
      <c r="D308" s="103">
        <v>6</v>
      </c>
      <c r="E308" s="103">
        <v>12</v>
      </c>
      <c r="F308" s="103" t="s">
        <v>718</v>
      </c>
      <c r="G308" s="103" t="s">
        <v>441</v>
      </c>
      <c r="H308" s="49"/>
      <c r="I308" s="65">
        <v>4.1100000000000003</v>
      </c>
      <c r="J308" s="49">
        <v>4</v>
      </c>
      <c r="K308" s="49">
        <v>3</v>
      </c>
      <c r="L308" s="49"/>
      <c r="M308" s="49"/>
      <c r="N308" s="49"/>
      <c r="O308" s="49"/>
      <c r="P308" s="49"/>
      <c r="Q308" s="66"/>
      <c r="R308" s="66"/>
      <c r="S308" s="66"/>
      <c r="T308" s="66"/>
      <c r="U308" s="39"/>
      <c r="V308" s="39"/>
      <c r="W308" s="39"/>
      <c r="X308" s="39"/>
    </row>
    <row r="309" spans="1:24" ht="15.75" customHeight="1" x14ac:dyDescent="0.25">
      <c r="A309" s="52"/>
      <c r="B309" s="43"/>
      <c r="C309" s="42"/>
      <c r="D309" s="49"/>
      <c r="E309" s="49"/>
      <c r="F309" s="49"/>
      <c r="G309" s="49"/>
      <c r="H309" s="35"/>
      <c r="I309" s="41"/>
      <c r="J309" s="50"/>
      <c r="K309" s="50"/>
      <c r="L309" s="35"/>
      <c r="M309" s="35"/>
      <c r="N309" s="35"/>
      <c r="O309" s="35"/>
      <c r="P309" s="35"/>
      <c r="Q309" s="40"/>
      <c r="R309" s="40"/>
      <c r="S309" s="40"/>
      <c r="T309" s="45"/>
      <c r="U309" s="39"/>
      <c r="V309" s="39"/>
      <c r="W309" s="39"/>
      <c r="X309" s="39"/>
    </row>
    <row r="310" spans="1:24" ht="15.75" customHeight="1" x14ac:dyDescent="0.25">
      <c r="A310" s="88"/>
      <c r="B310" s="35"/>
      <c r="C310" s="35"/>
      <c r="D310" s="39"/>
      <c r="E310" s="39"/>
      <c r="F310" s="39"/>
      <c r="G310" s="39"/>
      <c r="H310" s="35"/>
      <c r="I310" s="97"/>
      <c r="J310" s="37"/>
      <c r="K310" s="37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</row>
    <row r="311" spans="1:24" ht="15.75" customHeight="1" x14ac:dyDescent="0.25">
      <c r="A311" s="88"/>
      <c r="B311" s="35"/>
      <c r="C311" s="35"/>
      <c r="D311" s="96"/>
      <c r="E311" s="96"/>
      <c r="F311" s="96"/>
      <c r="G311" s="96"/>
      <c r="H311" s="35"/>
      <c r="I311" s="97"/>
      <c r="J311" s="36"/>
      <c r="K311" s="36"/>
      <c r="L311" s="98"/>
      <c r="M311" s="98"/>
      <c r="N311" s="98"/>
      <c r="O311" s="98"/>
      <c r="P311" s="98"/>
      <c r="Q311" s="99"/>
      <c r="R311" s="99"/>
      <c r="S311" s="99"/>
      <c r="T311" s="99"/>
      <c r="U311" s="39"/>
      <c r="V311" s="39"/>
      <c r="W311" s="39"/>
      <c r="X311" s="39"/>
    </row>
    <row r="312" spans="1:24" ht="15.75" customHeight="1" x14ac:dyDescent="0.25">
      <c r="A312" s="88"/>
      <c r="B312" s="35"/>
      <c r="C312" s="35"/>
      <c r="D312" s="96"/>
      <c r="E312" s="96"/>
      <c r="F312" s="96"/>
      <c r="G312" s="96"/>
      <c r="H312" s="35"/>
      <c r="I312" s="97"/>
      <c r="J312" s="36"/>
      <c r="K312" s="36"/>
      <c r="L312" s="98"/>
      <c r="M312" s="98"/>
      <c r="N312" s="98"/>
      <c r="O312" s="98"/>
      <c r="P312" s="98"/>
      <c r="Q312" s="99"/>
      <c r="R312" s="99"/>
      <c r="S312" s="99"/>
      <c r="T312" s="99"/>
      <c r="U312" s="39"/>
      <c r="V312" s="39"/>
      <c r="W312" s="39"/>
      <c r="X312" s="39"/>
    </row>
    <row r="313" spans="1:24" ht="15.75" customHeight="1" x14ac:dyDescent="0.25">
      <c r="A313" s="88"/>
      <c r="B313" s="35"/>
      <c r="C313" s="35"/>
      <c r="D313" s="96"/>
      <c r="E313" s="96"/>
      <c r="F313" s="96"/>
      <c r="G313" s="96"/>
      <c r="H313" s="35"/>
      <c r="I313" s="97"/>
      <c r="J313" s="36"/>
      <c r="K313" s="36"/>
      <c r="L313" s="98"/>
      <c r="M313" s="98"/>
      <c r="N313" s="98"/>
      <c r="O313" s="98"/>
      <c r="P313" s="98"/>
      <c r="Q313" s="99"/>
      <c r="R313" s="99"/>
      <c r="S313" s="99"/>
      <c r="T313" s="99"/>
      <c r="U313" s="39"/>
      <c r="V313" s="39"/>
      <c r="W313" s="39"/>
      <c r="X313" s="39"/>
    </row>
    <row r="314" spans="1:24" ht="15.75" customHeight="1" x14ac:dyDescent="0.25">
      <c r="A314" s="88"/>
      <c r="B314" s="35"/>
      <c r="C314" s="35"/>
      <c r="D314" s="96"/>
      <c r="E314" s="96"/>
      <c r="F314" s="96"/>
      <c r="G314" s="96"/>
      <c r="H314" s="35"/>
      <c r="I314" s="97"/>
      <c r="J314" s="36"/>
      <c r="K314" s="36"/>
      <c r="L314" s="98"/>
      <c r="M314" s="98"/>
      <c r="N314" s="98"/>
      <c r="O314" s="98"/>
      <c r="P314" s="98"/>
      <c r="Q314" s="99"/>
      <c r="R314" s="99"/>
      <c r="S314" s="99"/>
      <c r="T314" s="99"/>
      <c r="U314" s="39"/>
      <c r="V314" s="39"/>
      <c r="W314" s="39"/>
      <c r="X314" s="39"/>
    </row>
    <row r="315" spans="1:24" ht="15.75" customHeight="1" x14ac:dyDescent="0.25">
      <c r="A315" s="88"/>
      <c r="B315" s="35"/>
      <c r="C315" s="35"/>
      <c r="D315" s="96"/>
      <c r="E315" s="96"/>
      <c r="F315" s="96"/>
      <c r="G315" s="96"/>
      <c r="H315" s="35"/>
      <c r="I315" s="97"/>
      <c r="J315" s="36"/>
      <c r="K315" s="36"/>
      <c r="L315" s="98"/>
      <c r="M315" s="98"/>
      <c r="N315" s="98"/>
      <c r="O315" s="98"/>
      <c r="P315" s="98"/>
      <c r="Q315" s="99"/>
      <c r="R315" s="99"/>
      <c r="S315" s="99"/>
      <c r="T315" s="99"/>
      <c r="U315" s="39"/>
      <c r="V315" s="39"/>
      <c r="W315" s="39"/>
      <c r="X315" s="39"/>
    </row>
    <row r="316" spans="1:24" ht="15.75" customHeight="1" x14ac:dyDescent="0.25">
      <c r="A316" s="88"/>
      <c r="B316" s="35"/>
      <c r="C316" s="35"/>
      <c r="D316" s="96"/>
      <c r="E316" s="96"/>
      <c r="F316" s="96"/>
      <c r="G316" s="96"/>
      <c r="H316" s="35"/>
      <c r="I316" s="97"/>
      <c r="J316" s="36"/>
      <c r="K316" s="36"/>
      <c r="L316" s="98"/>
      <c r="M316" s="98"/>
      <c r="N316" s="98"/>
      <c r="O316" s="98"/>
      <c r="P316" s="98"/>
      <c r="Q316" s="99"/>
      <c r="R316" s="99"/>
      <c r="S316" s="99"/>
      <c r="T316" s="99"/>
      <c r="U316" s="39"/>
      <c r="V316" s="39"/>
      <c r="W316" s="39"/>
      <c r="X316" s="39"/>
    </row>
    <row r="317" spans="1:24" ht="15.75" customHeight="1" x14ac:dyDescent="0.25">
      <c r="A317" s="88"/>
      <c r="B317" s="35"/>
      <c r="C317" s="35"/>
      <c r="D317" s="96"/>
      <c r="E317" s="96"/>
      <c r="F317" s="96"/>
      <c r="G317" s="96"/>
      <c r="H317" s="35"/>
      <c r="I317" s="97"/>
      <c r="J317" s="36"/>
      <c r="K317" s="36"/>
      <c r="L317" s="98"/>
      <c r="M317" s="98"/>
      <c r="N317" s="98"/>
      <c r="O317" s="98"/>
      <c r="P317" s="98"/>
      <c r="Q317" s="99"/>
      <c r="R317" s="99"/>
      <c r="S317" s="99"/>
      <c r="T317" s="99"/>
      <c r="U317" s="39"/>
      <c r="V317" s="39"/>
      <c r="W317" s="39"/>
      <c r="X317" s="39"/>
    </row>
    <row r="318" spans="1:24" ht="15.75" customHeight="1" x14ac:dyDescent="0.25">
      <c r="A318" s="88"/>
      <c r="B318" s="35"/>
      <c r="C318" s="35"/>
      <c r="D318" s="100"/>
      <c r="E318" s="96"/>
      <c r="F318" s="96"/>
      <c r="G318" s="96"/>
      <c r="H318" s="35"/>
      <c r="I318" s="97"/>
      <c r="J318" s="36"/>
      <c r="K318" s="36"/>
      <c r="L318" s="98"/>
      <c r="M318" s="98"/>
      <c r="N318" s="98"/>
      <c r="O318" s="98"/>
      <c r="P318" s="98"/>
      <c r="Q318" s="99"/>
      <c r="R318" s="99"/>
      <c r="S318" s="99"/>
      <c r="T318" s="99"/>
      <c r="U318" s="39"/>
      <c r="V318" s="39"/>
      <c r="W318" s="39"/>
      <c r="X318" s="39"/>
    </row>
    <row r="319" spans="1:24" ht="15.75" customHeight="1" x14ac:dyDescent="0.25">
      <c r="A319" s="88"/>
      <c r="B319" s="35"/>
      <c r="C319" s="35"/>
      <c r="D319" s="96"/>
      <c r="E319" s="96"/>
      <c r="F319" s="96"/>
      <c r="G319" s="96"/>
      <c r="H319" s="35"/>
      <c r="I319" s="97"/>
      <c r="J319" s="36"/>
      <c r="K319" s="36"/>
      <c r="L319" s="98"/>
      <c r="M319" s="98"/>
      <c r="N319" s="98"/>
      <c r="O319" s="98"/>
      <c r="P319" s="98"/>
      <c r="Q319" s="99"/>
      <c r="R319" s="99"/>
      <c r="S319" s="99"/>
      <c r="T319" s="99"/>
      <c r="U319" s="39"/>
      <c r="V319" s="39"/>
      <c r="W319" s="39"/>
      <c r="X319" s="39"/>
    </row>
    <row r="320" spans="1:24" ht="15.75" customHeight="1" x14ac:dyDescent="0.25">
      <c r="A320" s="88"/>
      <c r="B320" s="35"/>
      <c r="C320" s="35"/>
      <c r="D320" s="39"/>
      <c r="E320" s="39"/>
      <c r="F320" s="39"/>
      <c r="G320" s="39"/>
      <c r="H320" s="35"/>
      <c r="I320" s="97"/>
      <c r="J320" s="37"/>
      <c r="K320" s="37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</row>
    <row r="321" spans="1:24" ht="15.75" customHeight="1" x14ac:dyDescent="0.25">
      <c r="A321" s="88"/>
      <c r="B321" s="35"/>
      <c r="C321" s="35"/>
      <c r="D321" s="39"/>
      <c r="E321" s="39"/>
      <c r="F321" s="39"/>
      <c r="G321" s="39"/>
      <c r="H321" s="35"/>
      <c r="I321" s="97"/>
      <c r="J321" s="36"/>
      <c r="K321" s="36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</row>
    <row r="322" spans="1:24" ht="15.75" customHeight="1" x14ac:dyDescent="0.25">
      <c r="A322" s="88"/>
      <c r="B322" s="35"/>
      <c r="C322" s="35"/>
      <c r="D322" s="39"/>
      <c r="E322" s="39"/>
      <c r="F322" s="39"/>
      <c r="G322" s="39"/>
      <c r="H322" s="35"/>
      <c r="I322" s="97"/>
      <c r="J322" s="37"/>
      <c r="K322" s="37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</row>
    <row r="323" spans="1:24" ht="15.75" customHeight="1" x14ac:dyDescent="0.25">
      <c r="A323" s="88"/>
      <c r="B323" s="35"/>
      <c r="C323" s="35"/>
      <c r="D323" s="39"/>
      <c r="E323" s="39"/>
      <c r="F323" s="39"/>
      <c r="G323" s="39"/>
      <c r="H323" s="35"/>
      <c r="I323" s="97"/>
      <c r="J323" s="36"/>
      <c r="K323" s="36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</row>
    <row r="324" spans="1:24" ht="15.75" customHeight="1" x14ac:dyDescent="0.25">
      <c r="A324" s="88"/>
      <c r="B324" s="35"/>
      <c r="C324" s="35"/>
      <c r="D324" s="96"/>
      <c r="E324" s="96"/>
      <c r="F324" s="96"/>
      <c r="G324" s="96"/>
      <c r="H324" s="35"/>
      <c r="I324" s="88"/>
      <c r="J324" s="36"/>
      <c r="K324" s="36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</row>
    <row r="325" spans="1:24" ht="15.75" customHeight="1" x14ac:dyDescent="0.25">
      <c r="A325" s="88"/>
      <c r="B325" s="35"/>
      <c r="C325" s="35"/>
      <c r="D325" s="39"/>
      <c r="E325" s="39"/>
      <c r="F325" s="39"/>
      <c r="H325" s="35"/>
      <c r="I325" s="97"/>
      <c r="J325" s="37"/>
      <c r="K325" s="37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</row>
    <row r="326" spans="1:24" ht="15.75" customHeight="1" x14ac:dyDescent="0.25">
      <c r="A326" s="88"/>
      <c r="B326" s="35"/>
      <c r="C326" s="35"/>
      <c r="D326" s="39"/>
      <c r="E326" s="39"/>
      <c r="F326" s="39"/>
      <c r="G326" s="39"/>
      <c r="H326" s="35"/>
      <c r="I326" s="97"/>
      <c r="J326" s="36"/>
      <c r="K326" s="36"/>
      <c r="L326" s="98"/>
      <c r="M326" s="98"/>
      <c r="N326" s="98"/>
      <c r="O326" s="98"/>
      <c r="P326" s="98"/>
      <c r="Q326" s="99"/>
      <c r="R326" s="99"/>
      <c r="S326" s="99"/>
      <c r="T326" s="99"/>
      <c r="U326" s="39"/>
      <c r="V326" s="39"/>
      <c r="W326" s="39"/>
      <c r="X326" s="39"/>
    </row>
    <row r="327" spans="1:24" ht="15.75" customHeight="1" x14ac:dyDescent="0.25">
      <c r="A327" s="88"/>
      <c r="B327" s="35"/>
      <c r="C327" s="35"/>
      <c r="D327" s="39"/>
      <c r="E327" s="39"/>
      <c r="F327" s="39"/>
      <c r="G327" s="39"/>
      <c r="H327" s="35"/>
      <c r="I327" s="97"/>
      <c r="J327" s="37"/>
      <c r="K327" s="37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</row>
    <row r="328" spans="1:24" ht="15.75" customHeight="1" x14ac:dyDescent="0.25">
      <c r="A328" s="88"/>
      <c r="B328" s="35"/>
      <c r="C328" s="35"/>
      <c r="D328" s="39"/>
      <c r="E328" s="39"/>
      <c r="F328" s="39"/>
      <c r="G328" s="39"/>
      <c r="H328" s="35"/>
      <c r="I328" s="97"/>
      <c r="J328" s="36"/>
      <c r="K328" s="36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</row>
    <row r="329" spans="1:24" ht="15.75" customHeight="1" x14ac:dyDescent="0.25">
      <c r="A329" s="88"/>
      <c r="B329" s="35"/>
      <c r="C329" s="35"/>
      <c r="D329" s="96"/>
      <c r="E329" s="96"/>
      <c r="F329" s="96"/>
      <c r="G329" s="96"/>
      <c r="H329" s="35"/>
      <c r="I329" s="97"/>
      <c r="J329" s="36"/>
      <c r="K329" s="36"/>
      <c r="L329" s="98"/>
      <c r="M329" s="98"/>
      <c r="N329" s="98"/>
      <c r="O329" s="98"/>
      <c r="P329" s="98"/>
      <c r="Q329" s="99"/>
      <c r="R329" s="99"/>
      <c r="S329" s="99"/>
      <c r="T329" s="99"/>
      <c r="U329" s="39"/>
      <c r="V329" s="39"/>
      <c r="W329" s="39"/>
      <c r="X329" s="39"/>
    </row>
    <row r="330" spans="1:24" ht="15.75" customHeight="1" x14ac:dyDescent="0.25">
      <c r="A330" s="88"/>
      <c r="B330" s="35"/>
      <c r="C330" s="35"/>
      <c r="D330" s="96"/>
      <c r="E330" s="96"/>
      <c r="F330" s="96"/>
      <c r="G330" s="96"/>
      <c r="H330" s="35"/>
      <c r="I330" s="97"/>
      <c r="J330" s="36"/>
      <c r="K330" s="36"/>
      <c r="L330" s="98"/>
      <c r="M330" s="98"/>
      <c r="N330" s="98"/>
      <c r="O330" s="98"/>
      <c r="P330" s="98"/>
      <c r="Q330" s="99"/>
      <c r="R330" s="99"/>
      <c r="S330" s="99"/>
      <c r="T330" s="99"/>
      <c r="U330" s="39"/>
      <c r="V330" s="39"/>
      <c r="W330" s="39"/>
      <c r="X330" s="39"/>
    </row>
    <row r="331" spans="1:24" ht="15.75" customHeight="1" x14ac:dyDescent="0.25">
      <c r="A331" s="88"/>
      <c r="B331" s="35"/>
      <c r="C331" s="35"/>
      <c r="D331" s="96"/>
      <c r="E331" s="96"/>
      <c r="F331" s="96"/>
      <c r="G331" s="96"/>
      <c r="H331" s="35"/>
      <c r="I331" s="97"/>
      <c r="J331" s="36"/>
      <c r="K331" s="36"/>
      <c r="L331" s="98"/>
      <c r="M331" s="98"/>
      <c r="N331" s="98"/>
      <c r="O331" s="98"/>
      <c r="P331" s="98"/>
      <c r="Q331" s="99"/>
      <c r="R331" s="99"/>
      <c r="S331" s="99"/>
      <c r="T331" s="99"/>
      <c r="U331" s="39"/>
      <c r="V331" s="39"/>
      <c r="W331" s="39"/>
      <c r="X331" s="39"/>
    </row>
    <row r="332" spans="1:24" ht="15.75" customHeight="1" x14ac:dyDescent="0.25">
      <c r="A332" s="88"/>
      <c r="B332" s="35"/>
      <c r="C332" s="35"/>
      <c r="D332" s="96"/>
      <c r="E332" s="96"/>
      <c r="F332" s="96"/>
      <c r="G332" s="96"/>
      <c r="H332" s="35"/>
      <c r="I332" s="97"/>
      <c r="J332" s="37"/>
      <c r="K332" s="37"/>
      <c r="L332" s="98"/>
      <c r="M332" s="98"/>
      <c r="N332" s="98"/>
      <c r="O332" s="98"/>
      <c r="P332" s="98"/>
      <c r="Q332" s="99"/>
      <c r="R332" s="99"/>
      <c r="S332" s="99"/>
      <c r="T332" s="99"/>
      <c r="U332" s="39"/>
      <c r="V332" s="39"/>
      <c r="W332" s="39"/>
      <c r="X332" s="39"/>
    </row>
    <row r="333" spans="1:24" ht="15.75" customHeight="1" x14ac:dyDescent="0.25">
      <c r="A333" s="88"/>
      <c r="B333" s="35"/>
      <c r="C333" s="35"/>
      <c r="D333" s="39"/>
      <c r="E333" s="39"/>
      <c r="F333" s="39"/>
      <c r="G333" s="39"/>
      <c r="H333" s="35"/>
      <c r="I333" s="97"/>
      <c r="J333" s="37"/>
      <c r="K333" s="37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</row>
    <row r="334" spans="1:24" ht="15.75" customHeight="1" x14ac:dyDescent="0.25">
      <c r="A334" s="88"/>
      <c r="B334" s="35"/>
      <c r="C334" s="35"/>
      <c r="D334" s="39"/>
      <c r="E334" s="39"/>
      <c r="F334" s="39"/>
      <c r="G334" s="39"/>
      <c r="H334" s="35"/>
      <c r="I334" s="97"/>
      <c r="J334" s="38"/>
      <c r="K334" s="38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</row>
    <row r="335" spans="1:24" ht="15.75" customHeight="1" x14ac:dyDescent="0.25">
      <c r="A335" s="88"/>
      <c r="B335" s="35"/>
      <c r="C335" s="35"/>
      <c r="D335" s="39"/>
      <c r="E335" s="39"/>
      <c r="F335" s="39"/>
      <c r="G335" s="39"/>
      <c r="H335" s="35"/>
      <c r="I335" s="97"/>
      <c r="J335" s="37"/>
      <c r="K335" s="37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</row>
    <row r="336" spans="1:24" ht="15.75" customHeight="1" x14ac:dyDescent="0.25">
      <c r="A336" s="88"/>
      <c r="B336" s="35"/>
      <c r="C336" s="35"/>
      <c r="D336" s="39"/>
      <c r="E336" s="39"/>
      <c r="F336" s="39"/>
      <c r="G336" s="39"/>
      <c r="H336" s="35"/>
      <c r="I336" s="97"/>
      <c r="J336" s="36"/>
      <c r="K336" s="36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</row>
    <row r="337" spans="1:24" ht="15.75" customHeight="1" x14ac:dyDescent="0.25">
      <c r="A337" s="88"/>
      <c r="B337" s="35"/>
      <c r="C337" s="35"/>
      <c r="D337" s="39"/>
      <c r="E337" s="39"/>
      <c r="F337" s="39"/>
      <c r="G337" s="39"/>
      <c r="H337" s="35"/>
      <c r="I337" s="97"/>
      <c r="J337" s="37"/>
      <c r="K337" s="37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</row>
    <row r="338" spans="1:24" ht="15.75" customHeight="1" x14ac:dyDescent="0.25">
      <c r="A338" s="88"/>
      <c r="B338" s="35"/>
      <c r="C338" s="35"/>
      <c r="D338" s="39"/>
      <c r="E338" s="39"/>
      <c r="F338" s="39"/>
      <c r="G338" s="39"/>
      <c r="H338" s="35"/>
      <c r="I338" s="97"/>
      <c r="J338" s="36"/>
      <c r="K338" s="36"/>
      <c r="L338" s="98"/>
      <c r="M338" s="98"/>
      <c r="N338" s="98"/>
      <c r="O338" s="98"/>
      <c r="P338" s="98"/>
      <c r="Q338" s="99"/>
      <c r="R338" s="99"/>
      <c r="S338" s="99"/>
      <c r="T338" s="99"/>
      <c r="U338" s="39"/>
      <c r="V338" s="39"/>
      <c r="W338" s="39"/>
      <c r="X338" s="39"/>
    </row>
    <row r="339" spans="1:24" ht="15.75" customHeight="1" x14ac:dyDescent="0.25">
      <c r="A339" s="88"/>
      <c r="B339" s="35"/>
      <c r="C339" s="35"/>
      <c r="D339" s="39"/>
      <c r="E339" s="39"/>
      <c r="F339" s="39"/>
      <c r="G339" s="39"/>
      <c r="H339" s="35"/>
      <c r="I339" s="97"/>
      <c r="J339" s="37"/>
      <c r="K339" s="37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</row>
    <row r="340" spans="1:24" ht="15.75" customHeight="1" x14ac:dyDescent="0.25">
      <c r="A340" s="88"/>
      <c r="B340" s="35"/>
      <c r="C340" s="35"/>
      <c r="D340" s="39"/>
      <c r="E340" s="39"/>
      <c r="F340" s="39"/>
      <c r="G340" s="39"/>
      <c r="H340" s="35"/>
      <c r="I340" s="97"/>
      <c r="J340" s="36"/>
      <c r="K340" s="36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</row>
    <row r="341" spans="1:24" ht="15.75" customHeight="1" x14ac:dyDescent="0.25">
      <c r="A341" s="88"/>
      <c r="B341" s="35"/>
      <c r="C341" s="35"/>
      <c r="D341" s="39"/>
      <c r="E341" s="39"/>
      <c r="F341" s="39"/>
      <c r="G341" s="39"/>
      <c r="H341" s="35"/>
      <c r="I341" s="97"/>
      <c r="J341" s="36"/>
      <c r="K341" s="36"/>
      <c r="L341" s="98"/>
      <c r="M341" s="98"/>
      <c r="N341" s="98"/>
      <c r="O341" s="98"/>
      <c r="P341" s="98"/>
      <c r="Q341" s="99"/>
      <c r="R341" s="99"/>
      <c r="S341" s="99"/>
      <c r="T341" s="99"/>
      <c r="U341" s="39"/>
      <c r="V341" s="39"/>
      <c r="W341" s="39"/>
      <c r="X341" s="39"/>
    </row>
    <row r="342" spans="1:24" ht="15.75" customHeight="1" x14ac:dyDescent="0.25">
      <c r="A342" s="88"/>
      <c r="B342" s="35"/>
      <c r="C342" s="35"/>
      <c r="F342" s="39"/>
      <c r="G342" s="39"/>
      <c r="H342" s="35"/>
      <c r="I342" s="97"/>
      <c r="J342" s="36"/>
      <c r="K342" s="36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</row>
    <row r="343" spans="1:24" ht="15.75" customHeight="1" x14ac:dyDescent="0.25">
      <c r="A343" s="88"/>
      <c r="B343" s="35"/>
      <c r="C343" s="35"/>
      <c r="D343" s="39"/>
      <c r="E343" s="39"/>
      <c r="F343" s="39"/>
      <c r="G343" s="39"/>
      <c r="H343" s="35"/>
      <c r="I343" s="97"/>
      <c r="J343" s="37"/>
      <c r="K343" s="37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</row>
    <row r="344" spans="1:24" ht="15.75" customHeight="1" x14ac:dyDescent="0.25">
      <c r="A344" s="88"/>
      <c r="B344" s="35"/>
      <c r="C344" s="35"/>
      <c r="D344" s="39"/>
      <c r="E344" s="39"/>
      <c r="F344" s="39"/>
      <c r="G344" s="39"/>
      <c r="H344" s="35"/>
      <c r="I344" s="97"/>
      <c r="J344" s="37"/>
      <c r="K344" s="37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</row>
    <row r="345" spans="1:24" ht="15.75" customHeight="1" x14ac:dyDescent="0.25">
      <c r="A345" s="88"/>
      <c r="B345" s="35"/>
      <c r="C345" s="35"/>
      <c r="D345" s="96"/>
      <c r="E345" s="96"/>
      <c r="F345" s="96"/>
      <c r="G345" s="96"/>
      <c r="H345" s="35"/>
      <c r="I345" s="97"/>
      <c r="J345" s="36"/>
      <c r="K345" s="36"/>
      <c r="L345" s="98"/>
      <c r="M345" s="98"/>
      <c r="N345" s="98"/>
      <c r="O345" s="98"/>
      <c r="P345" s="98"/>
      <c r="Q345" s="101"/>
      <c r="R345" s="101"/>
      <c r="S345" s="101"/>
      <c r="T345" s="101"/>
      <c r="U345" s="39"/>
      <c r="V345" s="39"/>
      <c r="W345" s="39"/>
      <c r="X345" s="39"/>
    </row>
    <row r="346" spans="1:24" ht="15.75" customHeight="1" x14ac:dyDescent="0.25">
      <c r="A346" s="88"/>
      <c r="B346" s="35"/>
      <c r="C346" s="35"/>
      <c r="D346" s="96"/>
      <c r="E346" s="96"/>
      <c r="F346" s="96"/>
      <c r="G346" s="96"/>
      <c r="H346" s="35"/>
      <c r="I346" s="97"/>
      <c r="J346" s="36"/>
      <c r="K346" s="36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</row>
    <row r="347" spans="1:24" ht="15.75" customHeight="1" x14ac:dyDescent="0.25">
      <c r="A347" s="88"/>
      <c r="B347" s="35"/>
      <c r="C347" s="35"/>
      <c r="D347" s="96"/>
      <c r="E347" s="96"/>
      <c r="F347" s="96"/>
      <c r="G347" s="96"/>
      <c r="H347" s="35"/>
      <c r="I347" s="97"/>
      <c r="J347" s="36"/>
      <c r="K347" s="36"/>
      <c r="L347" s="98"/>
      <c r="M347" s="98"/>
      <c r="N347" s="98"/>
      <c r="O347" s="98"/>
      <c r="P347" s="98"/>
      <c r="Q347" s="98"/>
      <c r="R347" s="98"/>
      <c r="S347" s="98"/>
      <c r="T347" s="98"/>
      <c r="U347" s="39"/>
      <c r="V347" s="39"/>
      <c r="W347" s="39"/>
      <c r="X347" s="39"/>
    </row>
    <row r="348" spans="1:24" ht="15.75" customHeight="1" x14ac:dyDescent="0.25">
      <c r="A348" s="88"/>
      <c r="B348" s="35"/>
      <c r="C348" s="35"/>
      <c r="D348" s="39"/>
      <c r="E348" s="39"/>
      <c r="F348" s="39"/>
      <c r="G348" s="39"/>
      <c r="H348" s="35"/>
      <c r="I348" s="97"/>
      <c r="J348" s="36"/>
      <c r="K348" s="36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</row>
    <row r="349" spans="1:24" ht="15.75" customHeight="1" x14ac:dyDescent="0.25">
      <c r="A349" s="88"/>
      <c r="B349" s="35"/>
      <c r="C349" s="35"/>
      <c r="D349" s="39"/>
      <c r="E349" s="39"/>
      <c r="F349" s="39"/>
      <c r="G349" s="39"/>
      <c r="H349" s="35"/>
      <c r="I349" s="97"/>
      <c r="J349" s="37"/>
      <c r="K349" s="37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</row>
    <row r="350" spans="1:24" ht="15.75" customHeight="1" x14ac:dyDescent="0.25">
      <c r="A350" s="88"/>
      <c r="B350" s="35"/>
      <c r="C350" s="35"/>
      <c r="D350" s="39"/>
      <c r="E350" s="39"/>
      <c r="F350" s="39"/>
      <c r="G350" s="39"/>
      <c r="H350" s="35"/>
      <c r="I350" s="97"/>
      <c r="J350" s="36"/>
      <c r="K350" s="36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</row>
    <row r="351" spans="1:24" ht="15.75" customHeight="1" x14ac:dyDescent="0.25">
      <c r="A351" s="88"/>
      <c r="B351" s="35"/>
      <c r="C351" s="35"/>
      <c r="D351" s="96"/>
      <c r="E351" s="96"/>
      <c r="F351" s="96"/>
      <c r="G351" s="96"/>
      <c r="H351" s="35"/>
      <c r="I351" s="97"/>
      <c r="J351" s="36"/>
      <c r="K351" s="36"/>
      <c r="L351" s="98"/>
      <c r="M351" s="98"/>
      <c r="N351" s="98"/>
      <c r="O351" s="98"/>
      <c r="P351" s="98"/>
      <c r="Q351" s="101"/>
      <c r="R351" s="101"/>
      <c r="S351" s="101"/>
      <c r="T351" s="101"/>
      <c r="U351" s="39"/>
      <c r="V351" s="39"/>
      <c r="W351" s="39"/>
      <c r="X351" s="39"/>
    </row>
    <row r="352" spans="1:24" ht="15.75" customHeight="1" x14ac:dyDescent="0.25">
      <c r="A352" s="88"/>
      <c r="B352" s="35"/>
      <c r="C352" s="35"/>
      <c r="D352" s="96"/>
      <c r="E352" s="96"/>
      <c r="F352" s="96"/>
      <c r="G352" s="96"/>
      <c r="H352" s="35"/>
      <c r="I352" s="97"/>
      <c r="J352" s="36"/>
      <c r="K352" s="36"/>
      <c r="L352" s="98"/>
      <c r="M352" s="98"/>
      <c r="N352" s="98"/>
      <c r="O352" s="98"/>
      <c r="P352" s="98"/>
      <c r="Q352" s="101"/>
      <c r="R352" s="101"/>
      <c r="S352" s="101"/>
      <c r="T352" s="101"/>
      <c r="U352" s="39"/>
      <c r="V352" s="39"/>
      <c r="W352" s="39"/>
      <c r="X352" s="39"/>
    </row>
    <row r="353" spans="1:24" ht="15.75" customHeight="1" x14ac:dyDescent="0.25">
      <c r="A353" s="88"/>
      <c r="B353" s="35"/>
      <c r="C353" s="35"/>
      <c r="D353" s="96"/>
      <c r="E353" s="96"/>
      <c r="F353" s="96"/>
      <c r="G353" s="96"/>
      <c r="H353" s="35"/>
      <c r="I353" s="97"/>
      <c r="J353" s="36"/>
      <c r="K353" s="36"/>
      <c r="L353" s="98"/>
      <c r="M353" s="98"/>
      <c r="N353" s="98"/>
      <c r="O353" s="98"/>
      <c r="P353" s="98"/>
      <c r="Q353" s="101"/>
      <c r="R353" s="101"/>
      <c r="S353" s="101"/>
      <c r="T353" s="101"/>
      <c r="U353" s="39"/>
      <c r="V353" s="39"/>
      <c r="W353" s="39"/>
      <c r="X353" s="39"/>
    </row>
    <row r="354" spans="1:24" ht="15.75" customHeight="1" x14ac:dyDescent="0.25">
      <c r="A354" s="88"/>
      <c r="B354" s="35"/>
      <c r="C354" s="35"/>
      <c r="D354" s="96"/>
      <c r="E354" s="96"/>
      <c r="F354" s="96"/>
      <c r="G354" s="96"/>
      <c r="H354" s="35"/>
      <c r="I354" s="97"/>
      <c r="J354" s="36"/>
      <c r="K354" s="36"/>
      <c r="L354" s="98"/>
      <c r="M354" s="98"/>
      <c r="N354" s="98"/>
      <c r="O354" s="98"/>
      <c r="P354" s="98"/>
      <c r="Q354" s="101"/>
      <c r="R354" s="101"/>
      <c r="S354" s="101"/>
      <c r="T354" s="101"/>
      <c r="U354" s="39"/>
      <c r="V354" s="39"/>
      <c r="W354" s="39"/>
      <c r="X354" s="39"/>
    </row>
    <row r="355" spans="1:24" ht="15" customHeight="1" x14ac:dyDescent="0.25">
      <c r="A355" s="88"/>
      <c r="B355" s="35"/>
      <c r="C355" s="35"/>
      <c r="J355" s="36"/>
      <c r="K355" s="36"/>
    </row>
    <row r="356" spans="1:24" ht="15.75" customHeight="1" x14ac:dyDescent="0.25">
      <c r="A356" s="88"/>
      <c r="B356" s="35"/>
      <c r="C356" s="35"/>
      <c r="D356" s="96"/>
      <c r="E356" s="96"/>
      <c r="F356" s="96"/>
      <c r="G356" s="96"/>
      <c r="J356" s="36"/>
      <c r="K356" s="36"/>
      <c r="L356" s="39"/>
      <c r="M356" s="39"/>
      <c r="N356" s="39"/>
      <c r="O356" s="39"/>
      <c r="P356" s="39"/>
      <c r="Q356" s="101"/>
      <c r="R356" s="101"/>
      <c r="S356" s="101"/>
      <c r="T356" s="101"/>
      <c r="U356" s="39"/>
      <c r="V356" s="39"/>
      <c r="W356" s="39"/>
      <c r="X356" s="39"/>
    </row>
    <row r="357" spans="1:24" ht="15.75" customHeight="1" x14ac:dyDescent="0.25">
      <c r="A357" s="88"/>
      <c r="B357" s="35"/>
      <c r="C357" s="35"/>
      <c r="D357" s="39"/>
      <c r="E357" s="39"/>
      <c r="F357" s="39"/>
      <c r="G357" s="39"/>
      <c r="H357" s="35"/>
      <c r="I357" s="88"/>
      <c r="J357" s="36"/>
      <c r="K357" s="36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</row>
    <row r="358" spans="1:24" ht="15.75" customHeight="1" x14ac:dyDescent="0.25">
      <c r="A358" s="88"/>
      <c r="B358" s="35"/>
      <c r="C358" s="35"/>
      <c r="D358" s="39"/>
      <c r="E358" s="39"/>
      <c r="F358" s="39"/>
      <c r="G358" s="39"/>
      <c r="H358" s="35"/>
      <c r="I358" s="88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</row>
    <row r="359" spans="1:24" ht="15.75" customHeight="1" x14ac:dyDescent="0.25">
      <c r="A359" s="88"/>
      <c r="B359" s="35"/>
      <c r="C359" s="35"/>
      <c r="D359" s="39"/>
      <c r="E359" s="39"/>
      <c r="F359" s="39"/>
      <c r="G359" s="39"/>
      <c r="H359" s="35"/>
      <c r="I359" s="88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</row>
    <row r="360" spans="1:24" ht="15.75" customHeight="1" x14ac:dyDescent="0.25">
      <c r="A360" s="88"/>
      <c r="B360" s="35"/>
      <c r="C360" s="35"/>
      <c r="D360" s="39"/>
      <c r="E360" s="39"/>
      <c r="F360" s="39"/>
      <c r="G360" s="39"/>
      <c r="H360" s="35"/>
      <c r="I360" s="88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</row>
    <row r="361" spans="1:24" ht="15.75" customHeight="1" x14ac:dyDescent="0.25">
      <c r="A361" s="88"/>
      <c r="B361" s="35"/>
      <c r="C361" s="35"/>
      <c r="D361" s="39"/>
      <c r="E361" s="39"/>
      <c r="F361" s="39"/>
      <c r="G361" s="39"/>
      <c r="H361" s="35"/>
      <c r="I361" s="88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</row>
    <row r="362" spans="1:24" ht="15.75" customHeight="1" x14ac:dyDescent="0.25">
      <c r="A362" s="88"/>
      <c r="B362" s="35"/>
      <c r="C362" s="35"/>
      <c r="D362" s="39"/>
      <c r="E362" s="39"/>
      <c r="F362" s="39"/>
      <c r="G362" s="39"/>
      <c r="H362" s="35"/>
      <c r="I362" s="88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</row>
    <row r="363" spans="1:24" ht="15.75" customHeight="1" x14ac:dyDescent="0.25">
      <c r="A363" s="88"/>
      <c r="B363" s="35"/>
      <c r="C363" s="35"/>
      <c r="D363" s="39"/>
      <c r="E363" s="39"/>
      <c r="F363" s="39"/>
      <c r="G363" s="39"/>
      <c r="H363" s="35"/>
      <c r="I363" s="88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</row>
    <row r="364" spans="1:24" ht="15.75" customHeight="1" x14ac:dyDescent="0.25">
      <c r="A364" s="88"/>
      <c r="B364" s="35"/>
      <c r="C364" s="35"/>
      <c r="D364" s="39"/>
      <c r="E364" s="39"/>
      <c r="F364" s="39"/>
      <c r="G364" s="39"/>
      <c r="H364" s="35"/>
      <c r="I364" s="88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</row>
    <row r="365" spans="1:24" ht="15.75" customHeight="1" x14ac:dyDescent="0.25">
      <c r="A365" s="88"/>
      <c r="B365" s="35"/>
      <c r="C365" s="35"/>
      <c r="D365" s="39"/>
      <c r="E365" s="39"/>
      <c r="F365" s="39"/>
      <c r="G365" s="39"/>
      <c r="H365" s="35"/>
      <c r="I365" s="88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</row>
    <row r="366" spans="1:24" ht="15.75" customHeight="1" x14ac:dyDescent="0.25">
      <c r="A366" s="88"/>
      <c r="B366" s="35"/>
      <c r="C366" s="35"/>
      <c r="D366" s="39"/>
      <c r="E366" s="39"/>
      <c r="F366" s="39"/>
      <c r="G366" s="39"/>
      <c r="H366" s="35"/>
      <c r="I366" s="88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</row>
    <row r="367" spans="1:24" ht="15.75" customHeight="1" x14ac:dyDescent="0.25">
      <c r="A367" s="88"/>
      <c r="B367" s="35"/>
      <c r="C367" s="35"/>
      <c r="D367" s="39"/>
      <c r="E367" s="39"/>
      <c r="F367" s="39"/>
      <c r="G367" s="39"/>
      <c r="H367" s="35"/>
      <c r="I367" s="88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</row>
    <row r="368" spans="1:24" ht="15.75" customHeight="1" x14ac:dyDescent="0.25">
      <c r="A368" s="88"/>
      <c r="B368" s="35"/>
      <c r="C368" s="35"/>
      <c r="D368" s="39"/>
      <c r="E368" s="39"/>
      <c r="F368" s="39"/>
      <c r="G368" s="39"/>
      <c r="H368" s="35"/>
      <c r="I368" s="88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</row>
    <row r="369" spans="1:24" ht="15.75" customHeight="1" x14ac:dyDescent="0.25">
      <c r="A369" s="88"/>
      <c r="B369" s="35"/>
      <c r="C369" s="35"/>
      <c r="D369" s="39"/>
      <c r="E369" s="39"/>
      <c r="F369" s="39"/>
      <c r="G369" s="39"/>
      <c r="H369" s="35"/>
      <c r="I369" s="88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</row>
    <row r="370" spans="1:24" ht="15.75" customHeight="1" x14ac:dyDescent="0.25">
      <c r="A370" s="88"/>
      <c r="B370" s="35"/>
      <c r="C370" s="35"/>
      <c r="D370" s="39"/>
      <c r="E370" s="39"/>
      <c r="F370" s="39"/>
      <c r="G370" s="39"/>
      <c r="H370" s="35"/>
      <c r="I370" s="88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</row>
    <row r="371" spans="1:24" ht="15.75" customHeight="1" x14ac:dyDescent="0.25">
      <c r="A371" s="88"/>
      <c r="B371" s="35"/>
      <c r="C371" s="35"/>
      <c r="D371" s="39"/>
      <c r="E371" s="39"/>
      <c r="F371" s="39"/>
      <c r="G371" s="39"/>
      <c r="H371" s="35"/>
      <c r="I371" s="88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</row>
    <row r="372" spans="1:24" ht="15.75" customHeight="1" x14ac:dyDescent="0.25">
      <c r="A372" s="88"/>
      <c r="B372" s="35"/>
      <c r="C372" s="35"/>
      <c r="D372" s="39"/>
      <c r="E372" s="39"/>
      <c r="F372" s="39"/>
      <c r="G372" s="39"/>
      <c r="H372" s="35"/>
      <c r="I372" s="88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</row>
    <row r="373" spans="1:24" ht="15.75" customHeight="1" x14ac:dyDescent="0.25">
      <c r="A373" s="88"/>
      <c r="B373" s="35"/>
      <c r="C373" s="35"/>
      <c r="D373" s="39"/>
      <c r="E373" s="39"/>
      <c r="F373" s="39"/>
      <c r="G373" s="39"/>
      <c r="H373" s="35"/>
      <c r="I373" s="88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</row>
    <row r="374" spans="1:24" ht="15.75" customHeight="1" x14ac:dyDescent="0.25">
      <c r="A374" s="88"/>
      <c r="B374" s="35"/>
      <c r="C374" s="35"/>
      <c r="D374" s="39"/>
      <c r="E374" s="39"/>
      <c r="F374" s="39"/>
      <c r="G374" s="39"/>
      <c r="H374" s="35"/>
      <c r="I374" s="88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</row>
    <row r="375" spans="1:24" ht="15.75" customHeight="1" x14ac:dyDescent="0.25">
      <c r="A375" s="88"/>
      <c r="B375" s="35"/>
      <c r="C375" s="35"/>
      <c r="D375" s="39"/>
      <c r="E375" s="39"/>
      <c r="F375" s="39"/>
      <c r="G375" s="39"/>
      <c r="H375" s="35"/>
      <c r="I375" s="88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</row>
    <row r="376" spans="1:24" ht="15.75" customHeight="1" x14ac:dyDescent="0.25">
      <c r="A376" s="39"/>
      <c r="B376" s="39"/>
      <c r="C376" s="39"/>
      <c r="D376" s="39"/>
      <c r="E376" s="39"/>
      <c r="F376" s="39"/>
      <c r="G376" s="39"/>
      <c r="H376" s="35"/>
      <c r="I376" s="88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</row>
    <row r="377" spans="1:24" ht="15.75" customHeight="1" x14ac:dyDescent="0.25">
      <c r="A377" s="39"/>
      <c r="B377" s="39"/>
      <c r="C377" s="39"/>
      <c r="D377" s="39"/>
      <c r="E377" s="39"/>
      <c r="F377" s="39"/>
      <c r="G377" s="39"/>
      <c r="H377" s="35"/>
      <c r="I377" s="88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</row>
    <row r="378" spans="1:24" ht="15.75" customHeight="1" x14ac:dyDescent="0.25">
      <c r="A378" s="39"/>
      <c r="B378" s="39"/>
      <c r="C378" s="39"/>
      <c r="D378" s="39"/>
      <c r="E378" s="39"/>
      <c r="F378" s="39"/>
      <c r="G378" s="39"/>
      <c r="H378" s="35"/>
      <c r="I378" s="88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</row>
    <row r="379" spans="1:24" ht="15.75" customHeight="1" x14ac:dyDescent="0.25">
      <c r="A379" s="39"/>
      <c r="B379" s="39"/>
      <c r="C379" s="39"/>
      <c r="D379" s="39"/>
      <c r="E379" s="39"/>
      <c r="F379" s="39"/>
      <c r="G379" s="39"/>
      <c r="H379" s="35"/>
      <c r="I379" s="88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</row>
    <row r="380" spans="1:24" ht="15.75" customHeight="1" x14ac:dyDescent="0.25">
      <c r="A380" s="39"/>
      <c r="B380" s="39"/>
      <c r="C380" s="39"/>
      <c r="D380" s="39"/>
      <c r="E380" s="39"/>
      <c r="F380" s="39"/>
      <c r="G380" s="39"/>
      <c r="H380" s="35"/>
      <c r="I380" s="88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</row>
    <row r="381" spans="1:24" ht="15.75" customHeight="1" x14ac:dyDescent="0.25">
      <c r="A381" s="39"/>
      <c r="B381" s="39"/>
      <c r="C381" s="39"/>
      <c r="D381" s="39"/>
      <c r="E381" s="39"/>
      <c r="F381" s="39"/>
      <c r="G381" s="39"/>
      <c r="H381" s="35"/>
      <c r="I381" s="88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</row>
    <row r="382" spans="1:24" ht="15.75" customHeight="1" x14ac:dyDescent="0.25">
      <c r="A382" s="39"/>
      <c r="B382" s="39"/>
      <c r="C382" s="39"/>
      <c r="D382" s="39"/>
      <c r="E382" s="39"/>
      <c r="F382" s="39"/>
      <c r="G382" s="39"/>
      <c r="H382" s="35"/>
      <c r="I382" s="88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</row>
    <row r="383" spans="1:24" ht="15.75" customHeight="1" x14ac:dyDescent="0.25">
      <c r="A383" s="39"/>
      <c r="B383" s="39"/>
      <c r="C383" s="39"/>
      <c r="D383" s="39"/>
      <c r="E383" s="39"/>
      <c r="F383" s="39"/>
      <c r="G383" s="39"/>
      <c r="H383" s="35"/>
      <c r="I383" s="88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</row>
    <row r="384" spans="1:24" ht="15.75" customHeight="1" x14ac:dyDescent="0.25">
      <c r="A384" s="39"/>
      <c r="B384" s="39"/>
      <c r="C384" s="39"/>
      <c r="D384" s="39"/>
      <c r="E384" s="39"/>
      <c r="F384" s="39"/>
      <c r="G384" s="39"/>
      <c r="H384" s="35"/>
      <c r="I384" s="88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</row>
    <row r="385" spans="1:24" ht="15.75" customHeight="1" x14ac:dyDescent="0.25">
      <c r="A385" s="39"/>
      <c r="B385" s="39"/>
      <c r="C385" s="39"/>
      <c r="D385" s="39"/>
      <c r="E385" s="39"/>
      <c r="F385" s="39"/>
      <c r="G385" s="39"/>
      <c r="H385" s="35"/>
      <c r="I385" s="88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</row>
    <row r="386" spans="1:24" ht="15.75" customHeight="1" x14ac:dyDescent="0.25">
      <c r="A386" s="39"/>
      <c r="B386" s="39"/>
      <c r="C386" s="39"/>
      <c r="D386" s="39"/>
      <c r="E386" s="39"/>
      <c r="F386" s="39"/>
      <c r="G386" s="39"/>
      <c r="H386" s="35"/>
      <c r="I386" s="88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</row>
    <row r="387" spans="1:24" ht="15.75" customHeight="1" x14ac:dyDescent="0.25">
      <c r="A387" s="39"/>
      <c r="B387" s="39"/>
      <c r="C387" s="39"/>
      <c r="D387" s="39"/>
      <c r="E387" s="39"/>
      <c r="F387" s="39"/>
      <c r="G387" s="39"/>
      <c r="H387" s="35"/>
      <c r="I387" s="88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</row>
    <row r="388" spans="1:24" ht="15.75" customHeight="1" x14ac:dyDescent="0.25">
      <c r="A388" s="39"/>
      <c r="B388" s="39"/>
      <c r="C388" s="39"/>
      <c r="D388" s="39"/>
      <c r="E388" s="39"/>
      <c r="F388" s="39"/>
      <c r="G388" s="39"/>
      <c r="H388" s="35"/>
      <c r="I388" s="88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</row>
    <row r="389" spans="1:24" ht="15.75" customHeight="1" x14ac:dyDescent="0.25">
      <c r="A389" s="39"/>
      <c r="B389" s="39"/>
      <c r="C389" s="39"/>
      <c r="D389" s="39"/>
      <c r="E389" s="39"/>
      <c r="F389" s="39"/>
      <c r="G389" s="39"/>
      <c r="H389" s="35"/>
      <c r="I389" s="88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</row>
    <row r="390" spans="1:24" ht="15.75" customHeight="1" x14ac:dyDescent="0.25">
      <c r="A390" s="39"/>
      <c r="B390" s="39"/>
      <c r="C390" s="39"/>
      <c r="D390" s="39"/>
      <c r="E390" s="39"/>
      <c r="F390" s="39"/>
      <c r="G390" s="39"/>
      <c r="H390" s="35"/>
      <c r="I390" s="88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</row>
    <row r="391" spans="1:24" ht="15.75" customHeight="1" x14ac:dyDescent="0.25">
      <c r="A391" s="39"/>
      <c r="B391" s="39"/>
      <c r="C391" s="39"/>
      <c r="D391" s="39"/>
      <c r="E391" s="39"/>
      <c r="F391" s="39"/>
      <c r="G391" s="39"/>
      <c r="H391" s="35"/>
      <c r="I391" s="88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</row>
    <row r="392" spans="1:24" ht="15.75" customHeight="1" x14ac:dyDescent="0.25">
      <c r="A392" s="39"/>
      <c r="B392" s="39"/>
      <c r="C392" s="39"/>
      <c r="D392" s="39"/>
      <c r="E392" s="39"/>
      <c r="F392" s="39"/>
      <c r="G392" s="39"/>
      <c r="H392" s="35"/>
      <c r="I392" s="88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</row>
    <row r="393" spans="1:24" ht="15.75" customHeight="1" x14ac:dyDescent="0.25">
      <c r="A393" s="39"/>
      <c r="B393" s="39"/>
      <c r="C393" s="39"/>
      <c r="D393" s="39"/>
      <c r="E393" s="39"/>
      <c r="F393" s="39"/>
      <c r="G393" s="39"/>
      <c r="H393" s="35"/>
      <c r="I393" s="88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</row>
    <row r="394" spans="1:24" ht="15.75" customHeight="1" x14ac:dyDescent="0.25">
      <c r="A394" s="39"/>
      <c r="B394" s="39"/>
      <c r="C394" s="39"/>
      <c r="D394" s="39"/>
      <c r="E394" s="39"/>
      <c r="F394" s="39"/>
      <c r="G394" s="39"/>
      <c r="H394" s="35"/>
      <c r="I394" s="88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</row>
    <row r="395" spans="1:24" ht="15.75" customHeight="1" x14ac:dyDescent="0.25">
      <c r="A395" s="39"/>
      <c r="B395" s="39"/>
      <c r="C395" s="39"/>
      <c r="D395" s="39"/>
      <c r="E395" s="39"/>
      <c r="F395" s="39"/>
      <c r="G395" s="39"/>
      <c r="H395" s="35"/>
      <c r="I395" s="88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</row>
    <row r="396" spans="1:24" ht="15.75" customHeight="1" x14ac:dyDescent="0.25">
      <c r="A396" s="39"/>
      <c r="B396" s="39"/>
      <c r="C396" s="39"/>
      <c r="D396" s="39"/>
      <c r="E396" s="39"/>
      <c r="F396" s="39"/>
      <c r="G396" s="39"/>
      <c r="H396" s="35"/>
      <c r="I396" s="88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</row>
    <row r="397" spans="1:24" ht="15.75" customHeight="1" x14ac:dyDescent="0.25">
      <c r="A397" s="39"/>
      <c r="B397" s="39"/>
      <c r="C397" s="39"/>
      <c r="D397" s="39"/>
      <c r="E397" s="39"/>
      <c r="F397" s="39"/>
      <c r="G397" s="39"/>
      <c r="H397" s="35"/>
      <c r="I397" s="88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</row>
    <row r="398" spans="1:24" ht="15.75" customHeight="1" x14ac:dyDescent="0.25">
      <c r="A398" s="39"/>
      <c r="B398" s="39"/>
      <c r="C398" s="39"/>
      <c r="D398" s="39"/>
      <c r="E398" s="39"/>
      <c r="F398" s="39"/>
      <c r="G398" s="39"/>
      <c r="H398" s="35"/>
      <c r="I398" s="88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</row>
    <row r="399" spans="1:24" ht="15.75" customHeight="1" x14ac:dyDescent="0.25">
      <c r="A399" s="39"/>
      <c r="B399" s="39"/>
      <c r="C399" s="39"/>
      <c r="D399" s="39"/>
      <c r="E399" s="39"/>
      <c r="F399" s="39"/>
      <c r="G399" s="39"/>
      <c r="H399" s="35"/>
      <c r="I399" s="88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</row>
    <row r="400" spans="1:24" ht="15.75" customHeight="1" x14ac:dyDescent="0.25">
      <c r="A400" s="39"/>
      <c r="B400" s="39"/>
      <c r="C400" s="39"/>
      <c r="D400" s="39"/>
      <c r="E400" s="39"/>
      <c r="F400" s="39"/>
      <c r="G400" s="39"/>
      <c r="H400" s="35"/>
      <c r="I400" s="88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</row>
    <row r="401" spans="1:24" ht="15.75" customHeight="1" x14ac:dyDescent="0.25">
      <c r="A401" s="39"/>
      <c r="B401" s="39"/>
      <c r="C401" s="39"/>
      <c r="D401" s="39"/>
      <c r="E401" s="39"/>
      <c r="F401" s="39"/>
      <c r="G401" s="39"/>
      <c r="H401" s="35"/>
      <c r="I401" s="88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</row>
    <row r="402" spans="1:24" ht="15.75" customHeight="1" x14ac:dyDescent="0.25">
      <c r="A402" s="39"/>
      <c r="B402" s="39"/>
      <c r="C402" s="39"/>
      <c r="D402" s="39"/>
      <c r="E402" s="39"/>
      <c r="F402" s="39"/>
      <c r="G402" s="39"/>
      <c r="H402" s="35"/>
      <c r="I402" s="88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</row>
    <row r="403" spans="1:24" ht="15.75" customHeight="1" x14ac:dyDescent="0.25">
      <c r="A403" s="39"/>
      <c r="B403" s="39"/>
      <c r="C403" s="39"/>
      <c r="D403" s="39"/>
      <c r="E403" s="39"/>
      <c r="F403" s="39"/>
      <c r="G403" s="39"/>
      <c r="H403" s="35"/>
      <c r="I403" s="88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</row>
    <row r="404" spans="1:24" ht="15.75" customHeight="1" x14ac:dyDescent="0.25">
      <c r="A404" s="39"/>
      <c r="B404" s="39"/>
      <c r="C404" s="39"/>
      <c r="D404" s="39"/>
      <c r="E404" s="39"/>
      <c r="F404" s="39"/>
      <c r="G404" s="39"/>
      <c r="H404" s="35"/>
      <c r="I404" s="88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</row>
    <row r="405" spans="1:24" ht="15.75" customHeight="1" x14ac:dyDescent="0.25">
      <c r="A405" s="39"/>
      <c r="B405" s="39"/>
      <c r="C405" s="39"/>
      <c r="D405" s="39"/>
      <c r="E405" s="39"/>
      <c r="F405" s="39"/>
      <c r="G405" s="39"/>
      <c r="H405" s="35"/>
      <c r="I405" s="88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</row>
    <row r="406" spans="1:24" ht="15.75" customHeight="1" x14ac:dyDescent="0.25">
      <c r="A406" s="39"/>
      <c r="B406" s="39"/>
      <c r="C406" s="39"/>
      <c r="D406" s="39"/>
      <c r="E406" s="39"/>
      <c r="F406" s="39"/>
      <c r="G406" s="39"/>
      <c r="H406" s="35"/>
      <c r="I406" s="88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</row>
    <row r="407" spans="1:24" ht="15.75" customHeight="1" x14ac:dyDescent="0.25">
      <c r="A407" s="39"/>
      <c r="B407" s="39"/>
      <c r="C407" s="39"/>
      <c r="D407" s="39"/>
      <c r="E407" s="39"/>
      <c r="F407" s="39"/>
      <c r="G407" s="39"/>
      <c r="H407" s="35"/>
      <c r="I407" s="88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</row>
    <row r="408" spans="1:24" ht="15.75" customHeight="1" x14ac:dyDescent="0.25">
      <c r="A408" s="39"/>
      <c r="B408" s="39"/>
      <c r="C408" s="39"/>
      <c r="D408" s="39"/>
      <c r="E408" s="39"/>
      <c r="F408" s="39"/>
      <c r="G408" s="39"/>
      <c r="H408" s="35"/>
      <c r="I408" s="88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</row>
    <row r="409" spans="1:24" ht="15.75" customHeight="1" x14ac:dyDescent="0.25">
      <c r="A409" s="39"/>
      <c r="B409" s="39"/>
      <c r="C409" s="39"/>
      <c r="D409" s="39"/>
      <c r="E409" s="39"/>
      <c r="F409" s="39"/>
      <c r="G409" s="39"/>
      <c r="H409" s="35"/>
      <c r="I409" s="88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</row>
    <row r="410" spans="1:24" ht="15.75" customHeight="1" x14ac:dyDescent="0.25">
      <c r="A410" s="39"/>
      <c r="B410" s="39"/>
      <c r="C410" s="39"/>
      <c r="D410" s="39"/>
      <c r="E410" s="39"/>
      <c r="F410" s="39"/>
      <c r="G410" s="39"/>
      <c r="H410" s="35"/>
      <c r="I410" s="88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</row>
    <row r="411" spans="1:24" ht="15.75" customHeight="1" x14ac:dyDescent="0.25">
      <c r="A411" s="39"/>
      <c r="B411" s="39"/>
      <c r="C411" s="39"/>
      <c r="D411" s="39"/>
      <c r="E411" s="39"/>
      <c r="F411" s="39"/>
      <c r="G411" s="39"/>
      <c r="H411" s="35"/>
      <c r="I411" s="88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</row>
    <row r="412" spans="1:24" ht="15.75" customHeight="1" x14ac:dyDescent="0.25">
      <c r="A412" s="39"/>
      <c r="B412" s="39"/>
      <c r="C412" s="39"/>
      <c r="D412" s="39"/>
      <c r="E412" s="39"/>
      <c r="F412" s="39"/>
      <c r="G412" s="39"/>
      <c r="H412" s="35"/>
      <c r="I412" s="88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</row>
    <row r="413" spans="1:24" ht="15.75" customHeight="1" x14ac:dyDescent="0.25">
      <c r="A413" s="39"/>
      <c r="B413" s="39"/>
      <c r="C413" s="39"/>
      <c r="D413" s="39"/>
      <c r="E413" s="39"/>
      <c r="F413" s="39"/>
      <c r="G413" s="39"/>
      <c r="H413" s="35"/>
      <c r="I413" s="88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</row>
    <row r="414" spans="1:24" ht="15.75" customHeight="1" x14ac:dyDescent="0.25">
      <c r="A414" s="39"/>
      <c r="B414" s="39"/>
      <c r="C414" s="39"/>
      <c r="D414" s="39"/>
      <c r="E414" s="39"/>
      <c r="F414" s="39"/>
      <c r="G414" s="39"/>
      <c r="H414" s="35"/>
      <c r="I414" s="88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</row>
    <row r="415" spans="1:24" ht="15.75" customHeight="1" x14ac:dyDescent="0.25">
      <c r="A415" s="39"/>
      <c r="B415" s="39"/>
      <c r="C415" s="39"/>
      <c r="D415" s="39"/>
      <c r="E415" s="39"/>
      <c r="F415" s="39"/>
      <c r="G415" s="39"/>
      <c r="H415" s="35"/>
      <c r="I415" s="88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</row>
    <row r="416" spans="1:24" ht="15.75" customHeight="1" x14ac:dyDescent="0.25">
      <c r="A416" s="39"/>
      <c r="B416" s="39"/>
      <c r="C416" s="39"/>
      <c r="D416" s="39"/>
      <c r="E416" s="39"/>
      <c r="F416" s="39"/>
      <c r="G416" s="39"/>
      <c r="H416" s="35"/>
      <c r="I416" s="88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</row>
    <row r="417" spans="1:24" ht="15.75" customHeight="1" x14ac:dyDescent="0.25">
      <c r="A417" s="39"/>
      <c r="B417" s="39"/>
      <c r="C417" s="39"/>
      <c r="D417" s="39"/>
      <c r="E417" s="39"/>
      <c r="F417" s="39"/>
      <c r="G417" s="39"/>
      <c r="H417" s="35"/>
      <c r="I417" s="88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</row>
    <row r="418" spans="1:24" ht="15.75" customHeight="1" x14ac:dyDescent="0.25">
      <c r="A418" s="39"/>
      <c r="B418" s="39"/>
      <c r="C418" s="39"/>
      <c r="D418" s="39"/>
      <c r="E418" s="39"/>
      <c r="F418" s="39"/>
      <c r="G418" s="39"/>
      <c r="H418" s="35"/>
      <c r="I418" s="88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</row>
    <row r="419" spans="1:24" ht="15.75" customHeight="1" x14ac:dyDescent="0.25">
      <c r="A419" s="39"/>
      <c r="B419" s="39"/>
      <c r="C419" s="39"/>
      <c r="D419" s="39"/>
      <c r="E419" s="39"/>
      <c r="F419" s="39"/>
      <c r="G419" s="39"/>
      <c r="H419" s="35"/>
      <c r="I419" s="88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</row>
    <row r="420" spans="1:24" ht="15.75" customHeight="1" x14ac:dyDescent="0.25">
      <c r="A420" s="39"/>
      <c r="B420" s="39"/>
      <c r="C420" s="39"/>
      <c r="D420" s="39"/>
      <c r="E420" s="39"/>
      <c r="F420" s="39"/>
      <c r="G420" s="39"/>
      <c r="H420" s="35"/>
      <c r="I420" s="88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</row>
    <row r="421" spans="1:24" ht="15.75" customHeight="1" x14ac:dyDescent="0.25">
      <c r="A421" s="39"/>
      <c r="B421" s="39"/>
      <c r="C421" s="39"/>
      <c r="D421" s="39"/>
      <c r="E421" s="39"/>
      <c r="F421" s="39"/>
      <c r="G421" s="39"/>
      <c r="H421" s="35"/>
      <c r="I421" s="88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</row>
    <row r="422" spans="1:24" ht="15.75" customHeight="1" x14ac:dyDescent="0.25">
      <c r="A422" s="39"/>
      <c r="B422" s="39"/>
      <c r="C422" s="39"/>
      <c r="D422" s="39"/>
      <c r="E422" s="39"/>
      <c r="F422" s="39"/>
      <c r="G422" s="39"/>
      <c r="H422" s="35"/>
      <c r="I422" s="88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</row>
    <row r="423" spans="1:24" ht="15.75" customHeight="1" x14ac:dyDescent="0.25">
      <c r="A423" s="39"/>
      <c r="B423" s="39"/>
      <c r="C423" s="39"/>
      <c r="D423" s="39"/>
      <c r="E423" s="39"/>
      <c r="F423" s="39"/>
      <c r="G423" s="39"/>
      <c r="H423" s="35"/>
      <c r="I423" s="88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</row>
    <row r="424" spans="1:24" ht="15.75" customHeight="1" x14ac:dyDescent="0.25">
      <c r="A424" s="39"/>
      <c r="B424" s="39"/>
      <c r="C424" s="39"/>
      <c r="D424" s="39"/>
      <c r="E424" s="39"/>
      <c r="F424" s="39"/>
      <c r="G424" s="39"/>
      <c r="H424" s="35"/>
      <c r="I424" s="88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</row>
    <row r="425" spans="1:24" ht="15.75" customHeight="1" x14ac:dyDescent="0.25">
      <c r="A425" s="39"/>
      <c r="B425" s="39"/>
      <c r="C425" s="39"/>
      <c r="D425" s="39"/>
      <c r="E425" s="39"/>
      <c r="F425" s="39"/>
      <c r="G425" s="39"/>
      <c r="H425" s="35"/>
      <c r="I425" s="88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</row>
    <row r="426" spans="1:24" ht="15.75" customHeight="1" x14ac:dyDescent="0.25">
      <c r="A426" s="39"/>
      <c r="B426" s="39"/>
      <c r="C426" s="39"/>
      <c r="D426" s="39"/>
      <c r="E426" s="39"/>
      <c r="F426" s="39"/>
      <c r="G426" s="39"/>
      <c r="H426" s="35"/>
      <c r="I426" s="88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</row>
    <row r="427" spans="1:24" ht="15.75" customHeight="1" x14ac:dyDescent="0.25">
      <c r="A427" s="39"/>
      <c r="B427" s="39"/>
      <c r="C427" s="39"/>
      <c r="D427" s="39"/>
      <c r="E427" s="39"/>
      <c r="F427" s="39"/>
      <c r="G427" s="39"/>
      <c r="H427" s="35"/>
      <c r="I427" s="88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</row>
    <row r="428" spans="1:24" ht="15.75" customHeight="1" x14ac:dyDescent="0.25">
      <c r="A428" s="39"/>
      <c r="B428" s="39"/>
      <c r="C428" s="39"/>
      <c r="D428" s="39"/>
      <c r="E428" s="39"/>
      <c r="F428" s="39"/>
      <c r="G428" s="39"/>
      <c r="H428" s="35"/>
      <c r="I428" s="88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</row>
    <row r="429" spans="1:24" ht="15.75" customHeight="1" x14ac:dyDescent="0.25">
      <c r="A429" s="39"/>
      <c r="B429" s="39"/>
      <c r="C429" s="39"/>
      <c r="D429" s="39"/>
      <c r="E429" s="39"/>
      <c r="F429" s="39"/>
      <c r="G429" s="39"/>
      <c r="H429" s="35"/>
      <c r="I429" s="88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</row>
    <row r="430" spans="1:24" ht="15.75" customHeight="1" x14ac:dyDescent="0.25">
      <c r="A430" s="39"/>
      <c r="B430" s="39"/>
      <c r="C430" s="39"/>
      <c r="D430" s="39"/>
      <c r="E430" s="39"/>
      <c r="F430" s="39"/>
      <c r="G430" s="39"/>
      <c r="H430" s="35"/>
      <c r="I430" s="88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</row>
    <row r="431" spans="1:24" ht="15.75" customHeight="1" x14ac:dyDescent="0.25">
      <c r="A431" s="39"/>
      <c r="B431" s="39"/>
      <c r="C431" s="39"/>
      <c r="D431" s="39"/>
      <c r="E431" s="39"/>
      <c r="F431" s="39"/>
      <c r="G431" s="39"/>
      <c r="H431" s="35"/>
      <c r="I431" s="88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</row>
    <row r="432" spans="1:24" ht="15.75" customHeight="1" x14ac:dyDescent="0.25">
      <c r="A432" s="39"/>
      <c r="B432" s="39"/>
      <c r="C432" s="39"/>
      <c r="D432" s="39"/>
      <c r="E432" s="39"/>
      <c r="F432" s="39"/>
      <c r="G432" s="39"/>
      <c r="H432" s="35"/>
      <c r="I432" s="88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</row>
    <row r="433" spans="1:24" ht="15.75" customHeight="1" x14ac:dyDescent="0.25">
      <c r="A433" s="39"/>
      <c r="B433" s="39"/>
      <c r="C433" s="39"/>
      <c r="D433" s="39"/>
      <c r="E433" s="39"/>
      <c r="F433" s="39"/>
      <c r="G433" s="39"/>
      <c r="H433" s="35"/>
      <c r="I433" s="88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</row>
    <row r="434" spans="1:24" ht="15.75" customHeight="1" x14ac:dyDescent="0.25">
      <c r="A434" s="39"/>
      <c r="B434" s="39"/>
      <c r="C434" s="39"/>
      <c r="D434" s="39"/>
      <c r="E434" s="39"/>
      <c r="F434" s="39"/>
      <c r="G434" s="39"/>
      <c r="H434" s="35"/>
      <c r="I434" s="88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</row>
    <row r="435" spans="1:24" ht="15.75" customHeight="1" x14ac:dyDescent="0.25">
      <c r="A435" s="39"/>
      <c r="B435" s="39"/>
      <c r="C435" s="39"/>
      <c r="D435" s="39"/>
      <c r="E435" s="39"/>
      <c r="F435" s="39"/>
      <c r="G435" s="39"/>
      <c r="H435" s="35"/>
      <c r="I435" s="88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</row>
    <row r="436" spans="1:24" ht="15.75" customHeight="1" x14ac:dyDescent="0.25">
      <c r="A436" s="39"/>
      <c r="B436" s="39"/>
      <c r="C436" s="39"/>
      <c r="D436" s="39"/>
      <c r="E436" s="39"/>
      <c r="F436" s="39"/>
      <c r="G436" s="39"/>
      <c r="H436" s="35"/>
      <c r="I436" s="88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</row>
    <row r="437" spans="1:24" ht="15.75" customHeight="1" x14ac:dyDescent="0.25">
      <c r="A437" s="39"/>
      <c r="B437" s="39"/>
      <c r="C437" s="39"/>
      <c r="D437" s="39"/>
      <c r="E437" s="39"/>
      <c r="F437" s="39"/>
      <c r="G437" s="39"/>
      <c r="H437" s="35"/>
      <c r="I437" s="88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</row>
    <row r="438" spans="1:24" ht="15.75" customHeight="1" x14ac:dyDescent="0.25">
      <c r="A438" s="39"/>
      <c r="B438" s="39"/>
      <c r="C438" s="39"/>
      <c r="D438" s="39"/>
      <c r="E438" s="39"/>
      <c r="F438" s="39"/>
      <c r="G438" s="39"/>
      <c r="H438" s="35"/>
      <c r="I438" s="88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</row>
    <row r="439" spans="1:24" ht="15.75" customHeight="1" x14ac:dyDescent="0.25">
      <c r="A439" s="39"/>
      <c r="B439" s="39"/>
      <c r="C439" s="39"/>
      <c r="D439" s="39"/>
      <c r="E439" s="39"/>
      <c r="F439" s="39"/>
      <c r="G439" s="39"/>
      <c r="H439" s="35"/>
      <c r="I439" s="88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</row>
    <row r="440" spans="1:24" ht="15.75" customHeight="1" x14ac:dyDescent="0.25">
      <c r="A440" s="39"/>
      <c r="B440" s="39"/>
      <c r="C440" s="39"/>
      <c r="D440" s="39"/>
      <c r="E440" s="39"/>
      <c r="F440" s="39"/>
      <c r="G440" s="39"/>
      <c r="H440" s="35"/>
      <c r="I440" s="88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</row>
    <row r="441" spans="1:24" ht="15.75" customHeight="1" x14ac:dyDescent="0.25">
      <c r="A441" s="39"/>
      <c r="B441" s="39"/>
      <c r="C441" s="39"/>
      <c r="D441" s="39"/>
      <c r="E441" s="39"/>
      <c r="F441" s="39"/>
      <c r="G441" s="39"/>
      <c r="H441" s="35"/>
      <c r="I441" s="88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</row>
    <row r="442" spans="1:24" ht="15.75" customHeight="1" x14ac:dyDescent="0.25">
      <c r="A442" s="39"/>
      <c r="B442" s="39"/>
      <c r="C442" s="39"/>
      <c r="D442" s="39"/>
      <c r="E442" s="39"/>
      <c r="F442" s="39"/>
      <c r="G442" s="39"/>
      <c r="H442" s="35"/>
      <c r="I442" s="88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</row>
    <row r="443" spans="1:24" ht="15.75" customHeight="1" x14ac:dyDescent="0.25">
      <c r="A443" s="39"/>
      <c r="B443" s="39"/>
      <c r="C443" s="39"/>
      <c r="D443" s="39"/>
      <c r="E443" s="39"/>
      <c r="F443" s="39"/>
      <c r="G443" s="39"/>
      <c r="H443" s="35"/>
      <c r="I443" s="88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</row>
    <row r="444" spans="1:24" ht="15.75" customHeight="1" x14ac:dyDescent="0.25">
      <c r="A444" s="39"/>
      <c r="B444" s="39"/>
      <c r="C444" s="39"/>
      <c r="D444" s="39"/>
      <c r="E444" s="39"/>
      <c r="F444" s="39"/>
      <c r="G444" s="39"/>
      <c r="H444" s="35"/>
      <c r="I444" s="88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</row>
    <row r="445" spans="1:24" ht="15.75" customHeight="1" x14ac:dyDescent="0.25">
      <c r="A445" s="39"/>
      <c r="B445" s="39"/>
      <c r="C445" s="39"/>
      <c r="D445" s="39"/>
      <c r="E445" s="39"/>
      <c r="F445" s="39"/>
      <c r="G445" s="39"/>
      <c r="H445" s="35"/>
      <c r="I445" s="88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</row>
    <row r="446" spans="1:24" ht="15.75" customHeight="1" x14ac:dyDescent="0.25">
      <c r="A446" s="39"/>
      <c r="B446" s="39"/>
      <c r="C446" s="39"/>
      <c r="D446" s="39"/>
      <c r="E446" s="39"/>
      <c r="F446" s="39"/>
      <c r="G446" s="39"/>
      <c r="H446" s="35"/>
      <c r="I446" s="88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</row>
    <row r="447" spans="1:24" ht="15.75" customHeight="1" x14ac:dyDescent="0.25">
      <c r="A447" s="39"/>
      <c r="B447" s="39"/>
      <c r="C447" s="39"/>
      <c r="D447" s="39"/>
      <c r="E447" s="39"/>
      <c r="F447" s="39"/>
      <c r="G447" s="39"/>
      <c r="H447" s="35"/>
      <c r="I447" s="88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</row>
    <row r="448" spans="1:24" ht="15.75" customHeight="1" x14ac:dyDescent="0.25">
      <c r="A448" s="39"/>
      <c r="B448" s="39"/>
      <c r="C448" s="39"/>
      <c r="D448" s="39"/>
      <c r="E448" s="39"/>
      <c r="F448" s="39"/>
      <c r="G448" s="39"/>
      <c r="H448" s="35"/>
      <c r="I448" s="88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</row>
    <row r="449" spans="1:24" ht="15.75" customHeight="1" x14ac:dyDescent="0.25">
      <c r="A449" s="39"/>
      <c r="B449" s="39"/>
      <c r="C449" s="39"/>
      <c r="D449" s="39"/>
      <c r="E449" s="39"/>
      <c r="F449" s="39"/>
      <c r="G449" s="39"/>
      <c r="H449" s="35"/>
      <c r="I449" s="88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</row>
    <row r="450" spans="1:24" ht="15.75" customHeight="1" x14ac:dyDescent="0.25">
      <c r="A450" s="39"/>
      <c r="B450" s="39"/>
      <c r="C450" s="39"/>
      <c r="D450" s="39"/>
      <c r="E450" s="39"/>
      <c r="F450" s="39"/>
      <c r="G450" s="39"/>
      <c r="H450" s="35"/>
      <c r="I450" s="88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</row>
    <row r="451" spans="1:24" ht="15.75" customHeight="1" x14ac:dyDescent="0.25">
      <c r="A451" s="39"/>
      <c r="B451" s="39"/>
      <c r="C451" s="39"/>
      <c r="D451" s="39"/>
      <c r="E451" s="39"/>
      <c r="F451" s="39"/>
      <c r="G451" s="39"/>
      <c r="H451" s="35"/>
      <c r="I451" s="88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</row>
    <row r="452" spans="1:24" ht="15.75" customHeight="1" x14ac:dyDescent="0.25">
      <c r="A452" s="39"/>
      <c r="B452" s="39"/>
      <c r="C452" s="39"/>
      <c r="D452" s="39"/>
      <c r="E452" s="39"/>
      <c r="F452" s="39"/>
      <c r="G452" s="39"/>
      <c r="H452" s="35"/>
      <c r="I452" s="88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</row>
    <row r="453" spans="1:24" ht="15.75" customHeight="1" x14ac:dyDescent="0.25">
      <c r="A453" s="39"/>
      <c r="B453" s="39"/>
      <c r="C453" s="39"/>
      <c r="D453" s="39"/>
      <c r="E453" s="39"/>
      <c r="F453" s="39"/>
      <c r="G453" s="39"/>
      <c r="H453" s="35"/>
      <c r="I453" s="88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</row>
    <row r="454" spans="1:24" ht="15.75" customHeight="1" x14ac:dyDescent="0.25">
      <c r="A454" s="39"/>
      <c r="B454" s="39"/>
      <c r="C454" s="39"/>
      <c r="D454" s="39"/>
      <c r="E454" s="39"/>
      <c r="F454" s="39"/>
      <c r="G454" s="39"/>
      <c r="H454" s="35"/>
      <c r="I454" s="88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</row>
    <row r="455" spans="1:24" ht="15.75" customHeight="1" x14ac:dyDescent="0.25">
      <c r="A455" s="39"/>
      <c r="B455" s="39"/>
      <c r="C455" s="39"/>
      <c r="D455" s="39"/>
      <c r="E455" s="39"/>
      <c r="F455" s="39"/>
      <c r="G455" s="39"/>
      <c r="H455" s="35"/>
      <c r="I455" s="88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</row>
    <row r="456" spans="1:24" ht="15.75" customHeight="1" x14ac:dyDescent="0.25">
      <c r="A456" s="39"/>
      <c r="B456" s="39"/>
      <c r="C456" s="39"/>
      <c r="D456" s="39"/>
      <c r="E456" s="39"/>
      <c r="F456" s="39"/>
      <c r="G456" s="39"/>
      <c r="H456" s="35"/>
      <c r="I456" s="88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</row>
    <row r="457" spans="1:24" ht="15.75" customHeight="1" x14ac:dyDescent="0.25">
      <c r="A457" s="39"/>
      <c r="B457" s="39"/>
      <c r="C457" s="39"/>
      <c r="D457" s="39"/>
      <c r="E457" s="39"/>
      <c r="F457" s="39"/>
      <c r="G457" s="39"/>
      <c r="H457" s="35"/>
      <c r="I457" s="88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</row>
    <row r="458" spans="1:24" ht="15.75" customHeight="1" x14ac:dyDescent="0.25">
      <c r="A458" s="39"/>
      <c r="B458" s="39"/>
      <c r="C458" s="39"/>
      <c r="D458" s="39"/>
      <c r="E458" s="39"/>
      <c r="F458" s="39"/>
      <c r="G458" s="39"/>
      <c r="H458" s="35"/>
      <c r="I458" s="88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</row>
    <row r="459" spans="1:24" ht="15.75" customHeight="1" x14ac:dyDescent="0.25">
      <c r="A459" s="39"/>
      <c r="B459" s="39"/>
      <c r="C459" s="39"/>
      <c r="D459" s="39"/>
      <c r="E459" s="39"/>
      <c r="F459" s="39"/>
      <c r="G459" s="39"/>
      <c r="H459" s="35"/>
      <c r="I459" s="88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</row>
    <row r="460" spans="1:24" ht="15.75" customHeight="1" x14ac:dyDescent="0.25">
      <c r="A460" s="39"/>
      <c r="B460" s="39"/>
      <c r="C460" s="39"/>
      <c r="D460" s="39"/>
      <c r="E460" s="39"/>
      <c r="F460" s="39"/>
      <c r="G460" s="39"/>
      <c r="H460" s="35"/>
      <c r="I460" s="88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</row>
    <row r="461" spans="1:24" ht="15.75" customHeight="1" x14ac:dyDescent="0.25">
      <c r="A461" s="39"/>
      <c r="B461" s="39"/>
      <c r="C461" s="39"/>
      <c r="D461" s="39"/>
      <c r="E461" s="39"/>
      <c r="F461" s="39"/>
      <c r="G461" s="39"/>
      <c r="H461" s="35"/>
      <c r="I461" s="88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</row>
    <row r="462" spans="1:24" ht="15.75" customHeight="1" x14ac:dyDescent="0.25">
      <c r="A462" s="39"/>
      <c r="B462" s="39"/>
      <c r="C462" s="39"/>
      <c r="D462" s="39"/>
      <c r="E462" s="39"/>
      <c r="F462" s="39"/>
      <c r="G462" s="39"/>
      <c r="H462" s="35"/>
      <c r="I462" s="88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</row>
    <row r="463" spans="1:24" ht="15.75" customHeight="1" x14ac:dyDescent="0.25">
      <c r="A463" s="39"/>
      <c r="B463" s="39"/>
      <c r="C463" s="39"/>
      <c r="D463" s="39"/>
      <c r="E463" s="39"/>
      <c r="F463" s="39"/>
      <c r="G463" s="39"/>
      <c r="H463" s="35"/>
      <c r="I463" s="88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</row>
    <row r="464" spans="1:24" ht="15.75" customHeight="1" x14ac:dyDescent="0.25">
      <c r="A464" s="39"/>
      <c r="B464" s="39"/>
      <c r="C464" s="39"/>
      <c r="D464" s="39"/>
      <c r="E464" s="39"/>
      <c r="F464" s="39"/>
      <c r="G464" s="39"/>
      <c r="H464" s="35"/>
      <c r="I464" s="88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</row>
    <row r="465" spans="1:24" ht="15.75" customHeight="1" x14ac:dyDescent="0.25">
      <c r="A465" s="39"/>
      <c r="B465" s="39"/>
      <c r="C465" s="39"/>
      <c r="D465" s="39"/>
      <c r="E465" s="39"/>
      <c r="F465" s="39"/>
      <c r="G465" s="39"/>
      <c r="H465" s="35"/>
      <c r="I465" s="88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</row>
    <row r="466" spans="1:24" ht="15.75" customHeight="1" x14ac:dyDescent="0.25">
      <c r="A466" s="39"/>
      <c r="B466" s="39"/>
      <c r="C466" s="39"/>
      <c r="D466" s="39"/>
      <c r="E466" s="39"/>
      <c r="F466" s="39"/>
      <c r="G466" s="39"/>
      <c r="H466" s="35"/>
      <c r="I466" s="88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</row>
    <row r="467" spans="1:24" ht="15.75" customHeight="1" x14ac:dyDescent="0.25">
      <c r="A467" s="39"/>
      <c r="B467" s="39"/>
      <c r="C467" s="39"/>
      <c r="D467" s="39"/>
      <c r="E467" s="39"/>
      <c r="F467" s="39"/>
      <c r="G467" s="39"/>
      <c r="H467" s="35"/>
      <c r="I467" s="88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</row>
    <row r="468" spans="1:24" ht="15.75" customHeight="1" x14ac:dyDescent="0.25">
      <c r="A468" s="39"/>
      <c r="B468" s="39"/>
      <c r="C468" s="39"/>
      <c r="D468" s="39"/>
      <c r="E468" s="39"/>
      <c r="F468" s="39"/>
      <c r="G468" s="39"/>
      <c r="H468" s="35"/>
      <c r="I468" s="88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</row>
    <row r="469" spans="1:24" ht="15.75" customHeight="1" x14ac:dyDescent="0.25">
      <c r="A469" s="39"/>
      <c r="B469" s="39"/>
      <c r="C469" s="39"/>
      <c r="D469" s="39"/>
      <c r="E469" s="39"/>
      <c r="F469" s="39"/>
      <c r="G469" s="39"/>
      <c r="H469" s="35"/>
      <c r="I469" s="88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</row>
    <row r="470" spans="1:24" ht="15.75" customHeight="1" x14ac:dyDescent="0.25">
      <c r="A470" s="39"/>
      <c r="B470" s="39"/>
      <c r="C470" s="39"/>
      <c r="D470" s="39"/>
      <c r="E470" s="39"/>
      <c r="F470" s="39"/>
      <c r="G470" s="39"/>
      <c r="H470" s="35"/>
      <c r="I470" s="88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</row>
    <row r="471" spans="1:24" ht="15.75" customHeight="1" x14ac:dyDescent="0.25">
      <c r="A471" s="39"/>
      <c r="B471" s="39"/>
      <c r="C471" s="39"/>
      <c r="D471" s="39"/>
      <c r="E471" s="39"/>
      <c r="F471" s="39"/>
      <c r="G471" s="39"/>
      <c r="H471" s="35"/>
      <c r="I471" s="88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</row>
    <row r="472" spans="1:24" ht="15.75" customHeight="1" x14ac:dyDescent="0.25">
      <c r="A472" s="39"/>
      <c r="B472" s="39"/>
      <c r="C472" s="39"/>
      <c r="D472" s="39"/>
      <c r="E472" s="39"/>
      <c r="F472" s="39"/>
      <c r="G472" s="39"/>
      <c r="H472" s="35"/>
      <c r="I472" s="88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</row>
    <row r="473" spans="1:24" ht="15.75" customHeight="1" x14ac:dyDescent="0.25">
      <c r="A473" s="39"/>
      <c r="B473" s="39"/>
      <c r="C473" s="39"/>
      <c r="D473" s="39"/>
      <c r="E473" s="39"/>
      <c r="F473" s="39"/>
      <c r="G473" s="39"/>
      <c r="H473" s="35"/>
      <c r="I473" s="88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</row>
    <row r="474" spans="1:24" ht="15.75" customHeight="1" x14ac:dyDescent="0.25">
      <c r="A474" s="39"/>
      <c r="B474" s="39"/>
      <c r="C474" s="39"/>
      <c r="D474" s="39"/>
      <c r="E474" s="39"/>
      <c r="F474" s="39"/>
      <c r="G474" s="39"/>
      <c r="H474" s="35"/>
      <c r="I474" s="88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</row>
    <row r="475" spans="1:24" ht="15.75" customHeight="1" x14ac:dyDescent="0.25">
      <c r="A475" s="39"/>
      <c r="B475" s="39"/>
      <c r="C475" s="39"/>
      <c r="D475" s="39"/>
      <c r="E475" s="39"/>
      <c r="F475" s="39"/>
      <c r="G475" s="39"/>
      <c r="H475" s="35"/>
      <c r="I475" s="88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</row>
    <row r="476" spans="1:24" ht="15.75" customHeight="1" x14ac:dyDescent="0.25">
      <c r="A476" s="39"/>
      <c r="B476" s="39"/>
      <c r="C476" s="39"/>
      <c r="D476" s="39"/>
      <c r="E476" s="39"/>
      <c r="F476" s="39"/>
      <c r="G476" s="39"/>
      <c r="H476" s="35"/>
      <c r="I476" s="88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</row>
    <row r="477" spans="1:24" ht="15.75" customHeight="1" x14ac:dyDescent="0.25">
      <c r="A477" s="39"/>
      <c r="B477" s="39"/>
      <c r="C477" s="39"/>
      <c r="D477" s="39"/>
      <c r="E477" s="39"/>
      <c r="F477" s="39"/>
      <c r="G477" s="39"/>
      <c r="H477" s="35"/>
      <c r="I477" s="88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</row>
    <row r="478" spans="1:24" ht="15.75" customHeight="1" x14ac:dyDescent="0.25">
      <c r="A478" s="39"/>
      <c r="B478" s="39"/>
      <c r="C478" s="39"/>
      <c r="D478" s="39"/>
      <c r="E478" s="39"/>
      <c r="F478" s="39"/>
      <c r="G478" s="39"/>
      <c r="H478" s="35"/>
      <c r="I478" s="88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</row>
    <row r="479" spans="1:24" ht="15.75" customHeight="1" x14ac:dyDescent="0.25">
      <c r="A479" s="39"/>
      <c r="B479" s="39"/>
      <c r="C479" s="39"/>
      <c r="D479" s="39"/>
      <c r="E479" s="39"/>
      <c r="F479" s="39"/>
      <c r="G479" s="39"/>
      <c r="H479" s="35"/>
      <c r="I479" s="88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</row>
    <row r="480" spans="1:24" ht="15.75" customHeight="1" x14ac:dyDescent="0.25">
      <c r="A480" s="39"/>
      <c r="B480" s="39"/>
      <c r="C480" s="39"/>
      <c r="D480" s="39"/>
      <c r="E480" s="39"/>
      <c r="F480" s="39"/>
      <c r="G480" s="39"/>
      <c r="H480" s="35"/>
      <c r="I480" s="88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</row>
    <row r="481" spans="1:24" ht="15.75" customHeight="1" x14ac:dyDescent="0.25">
      <c r="A481" s="39"/>
      <c r="B481" s="39"/>
      <c r="C481" s="39"/>
      <c r="D481" s="39"/>
      <c r="E481" s="39"/>
      <c r="F481" s="39"/>
      <c r="G481" s="39"/>
      <c r="H481" s="35"/>
      <c r="I481" s="88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</row>
    <row r="482" spans="1:24" ht="15.75" customHeight="1" x14ac:dyDescent="0.25">
      <c r="A482" s="39"/>
      <c r="B482" s="39"/>
      <c r="C482" s="39"/>
      <c r="D482" s="39"/>
      <c r="E482" s="39"/>
      <c r="F482" s="39"/>
      <c r="G482" s="39"/>
      <c r="H482" s="35"/>
      <c r="I482" s="88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</row>
    <row r="483" spans="1:24" ht="15.75" customHeight="1" x14ac:dyDescent="0.25">
      <c r="A483" s="39"/>
      <c r="B483" s="39"/>
      <c r="C483" s="39"/>
      <c r="D483" s="39"/>
      <c r="E483" s="39"/>
      <c r="F483" s="39"/>
      <c r="G483" s="39"/>
      <c r="H483" s="35"/>
      <c r="I483" s="88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</row>
    <row r="484" spans="1:24" ht="15.75" customHeight="1" x14ac:dyDescent="0.25">
      <c r="A484" s="39"/>
      <c r="B484" s="39"/>
      <c r="C484" s="39"/>
      <c r="D484" s="39"/>
      <c r="E484" s="39"/>
      <c r="F484" s="39"/>
      <c r="G484" s="39"/>
      <c r="H484" s="35"/>
      <c r="I484" s="88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</row>
    <row r="485" spans="1:24" ht="15.75" customHeight="1" x14ac:dyDescent="0.25">
      <c r="A485" s="39"/>
      <c r="B485" s="39"/>
      <c r="C485" s="39"/>
      <c r="D485" s="39"/>
      <c r="E485" s="39"/>
      <c r="F485" s="39"/>
      <c r="G485" s="39"/>
      <c r="H485" s="35"/>
      <c r="I485" s="88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</row>
    <row r="486" spans="1:24" ht="15.75" customHeight="1" x14ac:dyDescent="0.25">
      <c r="A486" s="39"/>
      <c r="B486" s="39"/>
      <c r="C486" s="39"/>
      <c r="D486" s="39"/>
      <c r="E486" s="39"/>
      <c r="F486" s="39"/>
      <c r="G486" s="39"/>
      <c r="H486" s="35"/>
      <c r="I486" s="88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</row>
    <row r="487" spans="1:24" ht="15.75" customHeight="1" x14ac:dyDescent="0.25">
      <c r="A487" s="39"/>
      <c r="B487" s="39"/>
      <c r="C487" s="39"/>
      <c r="D487" s="39"/>
      <c r="E487" s="39"/>
      <c r="F487" s="39"/>
      <c r="G487" s="39"/>
      <c r="H487" s="35"/>
      <c r="I487" s="88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</row>
    <row r="488" spans="1:24" ht="15.75" customHeight="1" x14ac:dyDescent="0.25">
      <c r="A488" s="39"/>
      <c r="B488" s="39"/>
      <c r="C488" s="39"/>
      <c r="D488" s="39"/>
      <c r="E488" s="39"/>
      <c r="F488" s="39"/>
      <c r="G488" s="39"/>
      <c r="H488" s="35"/>
      <c r="I488" s="88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</row>
    <row r="489" spans="1:24" ht="15.75" customHeight="1" x14ac:dyDescent="0.25">
      <c r="A489" s="39"/>
      <c r="B489" s="39"/>
      <c r="C489" s="39"/>
      <c r="D489" s="39"/>
      <c r="E489" s="39"/>
      <c r="F489" s="39"/>
      <c r="G489" s="39"/>
      <c r="H489" s="35"/>
      <c r="I489" s="88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</row>
    <row r="490" spans="1:24" ht="15.75" customHeight="1" x14ac:dyDescent="0.25">
      <c r="A490" s="39"/>
      <c r="B490" s="39"/>
      <c r="C490" s="39"/>
      <c r="D490" s="39"/>
      <c r="E490" s="39"/>
      <c r="F490" s="39"/>
      <c r="G490" s="39"/>
      <c r="H490" s="35"/>
      <c r="I490" s="88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</row>
    <row r="491" spans="1:24" ht="15.75" customHeight="1" x14ac:dyDescent="0.25">
      <c r="A491" s="39"/>
      <c r="B491" s="39"/>
      <c r="C491" s="39"/>
      <c r="D491" s="39"/>
      <c r="E491" s="39"/>
      <c r="F491" s="39"/>
      <c r="G491" s="39"/>
      <c r="H491" s="35"/>
      <c r="I491" s="88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</row>
    <row r="492" spans="1:24" ht="15.75" customHeight="1" x14ac:dyDescent="0.25">
      <c r="A492" s="39"/>
      <c r="B492" s="39"/>
      <c r="C492" s="39"/>
      <c r="D492" s="39"/>
      <c r="E492" s="39"/>
      <c r="F492" s="39"/>
      <c r="G492" s="39"/>
      <c r="H492" s="35"/>
      <c r="I492" s="88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</row>
    <row r="493" spans="1:24" ht="15.75" customHeight="1" x14ac:dyDescent="0.25">
      <c r="A493" s="39"/>
      <c r="B493" s="39"/>
      <c r="C493" s="39"/>
      <c r="D493" s="39"/>
      <c r="E493" s="39"/>
      <c r="F493" s="39"/>
      <c r="G493" s="39"/>
      <c r="H493" s="35"/>
      <c r="I493" s="88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</row>
    <row r="494" spans="1:24" ht="15.75" customHeight="1" x14ac:dyDescent="0.25">
      <c r="A494" s="39"/>
      <c r="B494" s="39"/>
      <c r="C494" s="39"/>
      <c r="D494" s="39"/>
      <c r="E494" s="39"/>
      <c r="F494" s="39"/>
      <c r="G494" s="39"/>
      <c r="H494" s="35"/>
      <c r="I494" s="88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</row>
    <row r="495" spans="1:24" ht="15.75" customHeight="1" x14ac:dyDescent="0.25">
      <c r="A495" s="39"/>
      <c r="B495" s="39"/>
      <c r="C495" s="39"/>
      <c r="D495" s="39"/>
      <c r="E495" s="39"/>
      <c r="F495" s="39"/>
      <c r="G495" s="39"/>
      <c r="H495" s="35"/>
      <c r="I495" s="88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</row>
    <row r="496" spans="1:24" ht="15.75" customHeight="1" x14ac:dyDescent="0.25">
      <c r="A496" s="39"/>
      <c r="B496" s="39"/>
      <c r="C496" s="39"/>
      <c r="D496" s="39"/>
      <c r="E496" s="39"/>
      <c r="F496" s="39"/>
      <c r="G496" s="39"/>
      <c r="H496" s="35"/>
      <c r="I496" s="88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</row>
    <row r="497" spans="1:24" ht="15.75" customHeight="1" x14ac:dyDescent="0.25">
      <c r="A497" s="39"/>
      <c r="B497" s="39"/>
      <c r="C497" s="39"/>
      <c r="D497" s="39"/>
      <c r="E497" s="39"/>
      <c r="F497" s="39"/>
      <c r="G497" s="39"/>
      <c r="H497" s="35"/>
      <c r="I497" s="88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</row>
    <row r="498" spans="1:24" ht="15.75" customHeight="1" x14ac:dyDescent="0.25">
      <c r="A498" s="39"/>
      <c r="B498" s="39"/>
      <c r="C498" s="39"/>
      <c r="D498" s="39"/>
      <c r="E498" s="39"/>
      <c r="F498" s="39"/>
      <c r="G498" s="39"/>
      <c r="H498" s="35"/>
      <c r="I498" s="88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</row>
    <row r="499" spans="1:24" ht="15.75" customHeight="1" x14ac:dyDescent="0.25">
      <c r="A499" s="39"/>
      <c r="B499" s="39"/>
      <c r="C499" s="39"/>
      <c r="D499" s="39"/>
      <c r="E499" s="39"/>
      <c r="F499" s="39"/>
      <c r="G499" s="39"/>
      <c r="H499" s="35"/>
      <c r="I499" s="88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</row>
    <row r="500" spans="1:24" ht="15.75" customHeight="1" x14ac:dyDescent="0.25">
      <c r="A500" s="39"/>
      <c r="B500" s="39"/>
      <c r="C500" s="39"/>
      <c r="D500" s="39"/>
      <c r="E500" s="39"/>
      <c r="F500" s="39"/>
      <c r="G500" s="39"/>
      <c r="H500" s="35"/>
      <c r="I500" s="88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</row>
    <row r="501" spans="1:24" ht="15.75" customHeight="1" x14ac:dyDescent="0.25">
      <c r="A501" s="39"/>
      <c r="B501" s="39"/>
      <c r="C501" s="39"/>
      <c r="D501" s="39"/>
      <c r="E501" s="39"/>
      <c r="F501" s="39"/>
      <c r="G501" s="39"/>
      <c r="H501" s="35"/>
      <c r="I501" s="88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</row>
    <row r="502" spans="1:24" ht="15.75" customHeight="1" x14ac:dyDescent="0.25">
      <c r="A502" s="39"/>
      <c r="B502" s="39"/>
      <c r="C502" s="39"/>
      <c r="D502" s="39"/>
      <c r="E502" s="39"/>
      <c r="F502" s="39"/>
      <c r="G502" s="39"/>
      <c r="H502" s="35"/>
      <c r="I502" s="88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</row>
    <row r="503" spans="1:24" ht="15.75" customHeight="1" x14ac:dyDescent="0.25">
      <c r="A503" s="39"/>
      <c r="B503" s="39"/>
      <c r="C503" s="39"/>
      <c r="D503" s="39"/>
      <c r="E503" s="39"/>
      <c r="F503" s="39"/>
      <c r="G503" s="39"/>
      <c r="H503" s="35"/>
      <c r="I503" s="88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</row>
    <row r="504" spans="1:24" ht="15.75" customHeight="1" x14ac:dyDescent="0.25">
      <c r="A504" s="39"/>
      <c r="B504" s="39"/>
      <c r="C504" s="39"/>
      <c r="D504" s="39"/>
      <c r="E504" s="39"/>
      <c r="F504" s="39"/>
      <c r="G504" s="39"/>
      <c r="H504" s="35"/>
      <c r="I504" s="88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</row>
    <row r="505" spans="1:24" ht="15.75" customHeight="1" x14ac:dyDescent="0.25">
      <c r="A505" s="39"/>
      <c r="B505" s="39"/>
      <c r="C505" s="39"/>
      <c r="D505" s="39"/>
      <c r="E505" s="39"/>
      <c r="F505" s="39"/>
      <c r="G505" s="39"/>
      <c r="H505" s="35"/>
      <c r="I505" s="88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</row>
    <row r="506" spans="1:24" ht="15.75" customHeight="1" x14ac:dyDescent="0.25">
      <c r="A506" s="39"/>
      <c r="B506" s="39"/>
      <c r="C506" s="39"/>
      <c r="D506" s="39"/>
      <c r="E506" s="39"/>
      <c r="F506" s="39"/>
      <c r="G506" s="39"/>
      <c r="H506" s="35"/>
      <c r="I506" s="88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</row>
    <row r="507" spans="1:24" ht="15.75" customHeight="1" x14ac:dyDescent="0.25">
      <c r="A507" s="39"/>
      <c r="B507" s="39"/>
      <c r="C507" s="39"/>
      <c r="D507" s="39"/>
      <c r="E507" s="39"/>
      <c r="F507" s="39"/>
      <c r="G507" s="39"/>
      <c r="H507" s="35"/>
      <c r="I507" s="88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</row>
    <row r="508" spans="1:24" ht="15.75" customHeight="1" x14ac:dyDescent="0.25">
      <c r="A508" s="39"/>
      <c r="B508" s="39"/>
      <c r="C508" s="39"/>
      <c r="D508" s="39"/>
      <c r="E508" s="39"/>
      <c r="F508" s="39"/>
      <c r="G508" s="39"/>
      <c r="H508" s="35"/>
      <c r="I508" s="88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</row>
    <row r="509" spans="1:24" ht="15.75" customHeight="1" x14ac:dyDescent="0.25">
      <c r="A509" s="39"/>
      <c r="B509" s="39"/>
      <c r="C509" s="39"/>
      <c r="D509" s="39"/>
      <c r="E509" s="39"/>
      <c r="F509" s="39"/>
      <c r="G509" s="39"/>
      <c r="H509" s="35"/>
      <c r="I509" s="88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</row>
    <row r="510" spans="1:24" ht="15.75" customHeight="1" x14ac:dyDescent="0.25">
      <c r="A510" s="39"/>
      <c r="B510" s="39"/>
      <c r="C510" s="39"/>
      <c r="D510" s="39"/>
      <c r="E510" s="39"/>
      <c r="F510" s="39"/>
      <c r="G510" s="39"/>
      <c r="H510" s="35"/>
      <c r="I510" s="88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</row>
    <row r="511" spans="1:24" ht="15.75" customHeight="1" x14ac:dyDescent="0.25">
      <c r="A511" s="39"/>
      <c r="B511" s="39"/>
      <c r="C511" s="39"/>
      <c r="D511" s="39"/>
      <c r="E511" s="39"/>
      <c r="F511" s="39"/>
      <c r="G511" s="39"/>
      <c r="H511" s="35"/>
      <c r="I511" s="88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</row>
    <row r="512" spans="1:24" ht="15.75" customHeight="1" x14ac:dyDescent="0.25">
      <c r="A512" s="39"/>
      <c r="B512" s="39"/>
      <c r="C512" s="39"/>
      <c r="D512" s="39"/>
      <c r="E512" s="39"/>
      <c r="F512" s="39"/>
      <c r="G512" s="39"/>
      <c r="H512" s="35"/>
      <c r="I512" s="88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</row>
    <row r="513" spans="1:24" ht="15.75" customHeight="1" x14ac:dyDescent="0.25">
      <c r="A513" s="39"/>
      <c r="B513" s="39"/>
      <c r="C513" s="39"/>
      <c r="D513" s="39"/>
      <c r="E513" s="39"/>
      <c r="F513" s="39"/>
      <c r="G513" s="39"/>
      <c r="H513" s="35"/>
      <c r="I513" s="88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</row>
    <row r="514" spans="1:24" ht="15.75" customHeight="1" x14ac:dyDescent="0.25">
      <c r="A514" s="39"/>
      <c r="B514" s="39"/>
      <c r="C514" s="39"/>
      <c r="D514" s="39"/>
      <c r="E514" s="39"/>
      <c r="F514" s="39"/>
      <c r="G514" s="39"/>
      <c r="H514" s="35"/>
      <c r="I514" s="88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</row>
    <row r="515" spans="1:24" ht="15.75" customHeight="1" x14ac:dyDescent="0.25">
      <c r="A515" s="39"/>
      <c r="B515" s="39"/>
      <c r="C515" s="39"/>
      <c r="D515" s="39"/>
      <c r="E515" s="39"/>
      <c r="F515" s="39"/>
      <c r="G515" s="39"/>
      <c r="H515" s="35"/>
      <c r="I515" s="88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</row>
    <row r="516" spans="1:24" ht="15.75" customHeight="1" x14ac:dyDescent="0.25">
      <c r="A516" s="39"/>
      <c r="B516" s="39"/>
      <c r="C516" s="39"/>
      <c r="D516" s="39"/>
      <c r="E516" s="39"/>
      <c r="F516" s="39"/>
      <c r="G516" s="39"/>
      <c r="H516" s="35"/>
      <c r="I516" s="88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</row>
    <row r="517" spans="1:24" ht="15.75" customHeight="1" x14ac:dyDescent="0.25">
      <c r="A517" s="39"/>
      <c r="B517" s="39"/>
      <c r="C517" s="39"/>
      <c r="D517" s="39"/>
      <c r="E517" s="39"/>
      <c r="F517" s="39"/>
      <c r="G517" s="39"/>
      <c r="H517" s="35"/>
      <c r="I517" s="88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</row>
    <row r="518" spans="1:24" ht="15.75" customHeight="1" x14ac:dyDescent="0.25">
      <c r="A518" s="39"/>
      <c r="B518" s="39"/>
      <c r="C518" s="39"/>
      <c r="D518" s="39"/>
      <c r="E518" s="39"/>
      <c r="F518" s="39"/>
      <c r="G518" s="39"/>
      <c r="H518" s="35"/>
      <c r="I518" s="88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</row>
    <row r="519" spans="1:24" ht="15.75" customHeight="1" x14ac:dyDescent="0.25">
      <c r="A519" s="39"/>
      <c r="B519" s="39"/>
      <c r="C519" s="39"/>
      <c r="D519" s="39"/>
      <c r="E519" s="39"/>
      <c r="F519" s="39"/>
      <c r="G519" s="39"/>
      <c r="H519" s="35"/>
      <c r="I519" s="88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</row>
    <row r="520" spans="1:24" ht="15.75" customHeight="1" x14ac:dyDescent="0.25">
      <c r="A520" s="39"/>
      <c r="B520" s="39"/>
      <c r="C520" s="39"/>
      <c r="D520" s="39"/>
      <c r="E520" s="39"/>
      <c r="F520" s="39"/>
      <c r="G520" s="39"/>
      <c r="H520" s="35"/>
      <c r="I520" s="88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</row>
    <row r="521" spans="1:24" ht="15.75" customHeight="1" x14ac:dyDescent="0.25">
      <c r="A521" s="39"/>
      <c r="B521" s="39"/>
      <c r="C521" s="39"/>
      <c r="D521" s="39"/>
      <c r="E521" s="39"/>
      <c r="F521" s="39"/>
      <c r="G521" s="39"/>
      <c r="H521" s="35"/>
      <c r="I521" s="88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</row>
    <row r="522" spans="1:24" ht="15.75" customHeight="1" x14ac:dyDescent="0.25">
      <c r="A522" s="39"/>
      <c r="B522" s="39"/>
      <c r="C522" s="39"/>
      <c r="D522" s="39"/>
      <c r="E522" s="39"/>
      <c r="F522" s="39"/>
      <c r="G522" s="39"/>
      <c r="H522" s="35"/>
      <c r="I522" s="88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</row>
    <row r="523" spans="1:24" ht="15.75" customHeight="1" x14ac:dyDescent="0.25">
      <c r="A523" s="39"/>
      <c r="B523" s="39"/>
      <c r="C523" s="39"/>
      <c r="D523" s="39"/>
      <c r="E523" s="39"/>
      <c r="F523" s="39"/>
      <c r="G523" s="39"/>
      <c r="H523" s="35"/>
      <c r="I523" s="88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</row>
    <row r="524" spans="1:24" ht="15.75" customHeight="1" x14ac:dyDescent="0.25">
      <c r="A524" s="39"/>
      <c r="B524" s="39"/>
      <c r="C524" s="39"/>
      <c r="D524" s="39"/>
      <c r="E524" s="39"/>
      <c r="F524" s="39"/>
      <c r="G524" s="39"/>
      <c r="H524" s="35"/>
      <c r="I524" s="88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</row>
    <row r="525" spans="1:24" ht="15.75" customHeight="1" x14ac:dyDescent="0.25">
      <c r="A525" s="39"/>
      <c r="B525" s="39"/>
      <c r="C525" s="39"/>
      <c r="D525" s="39"/>
      <c r="E525" s="39"/>
      <c r="F525" s="39"/>
      <c r="G525" s="39"/>
      <c r="H525" s="35"/>
      <c r="I525" s="88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</row>
    <row r="526" spans="1:24" ht="15.75" customHeight="1" x14ac:dyDescent="0.25">
      <c r="A526" s="39"/>
      <c r="B526" s="39"/>
      <c r="C526" s="39"/>
      <c r="D526" s="39"/>
      <c r="E526" s="39"/>
      <c r="F526" s="39"/>
      <c r="G526" s="39"/>
      <c r="H526" s="35"/>
      <c r="I526" s="88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</row>
    <row r="527" spans="1:24" ht="15.75" customHeight="1" x14ac:dyDescent="0.25">
      <c r="A527" s="39"/>
      <c r="B527" s="39"/>
      <c r="C527" s="39"/>
      <c r="D527" s="39"/>
      <c r="E527" s="39"/>
      <c r="F527" s="39"/>
      <c r="G527" s="39"/>
      <c r="H527" s="35"/>
      <c r="I527" s="88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</row>
    <row r="528" spans="1:24" ht="15.75" customHeight="1" x14ac:dyDescent="0.25">
      <c r="A528" s="39"/>
      <c r="B528" s="39"/>
      <c r="C528" s="39"/>
      <c r="D528" s="39"/>
      <c r="E528" s="39"/>
      <c r="F528" s="39"/>
      <c r="G528" s="39"/>
      <c r="H528" s="35"/>
      <c r="I528" s="88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</row>
    <row r="529" spans="1:24" ht="15.75" customHeight="1" x14ac:dyDescent="0.25">
      <c r="A529" s="39"/>
      <c r="B529" s="39"/>
      <c r="C529" s="39"/>
      <c r="D529" s="39"/>
      <c r="E529" s="39"/>
      <c r="F529" s="39"/>
      <c r="G529" s="39"/>
      <c r="H529" s="35"/>
      <c r="I529" s="88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</row>
    <row r="530" spans="1:24" ht="15.75" customHeight="1" x14ac:dyDescent="0.25">
      <c r="A530" s="39"/>
      <c r="B530" s="39"/>
      <c r="C530" s="39"/>
      <c r="D530" s="39"/>
      <c r="E530" s="39"/>
      <c r="F530" s="39"/>
      <c r="G530" s="39"/>
      <c r="H530" s="35"/>
      <c r="I530" s="88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</row>
    <row r="531" spans="1:24" ht="15.75" customHeight="1" x14ac:dyDescent="0.25">
      <c r="A531" s="39"/>
      <c r="B531" s="39"/>
      <c r="C531" s="39"/>
      <c r="D531" s="39"/>
      <c r="E531" s="39"/>
      <c r="F531" s="39"/>
      <c r="G531" s="39"/>
      <c r="H531" s="35"/>
      <c r="I531" s="88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</row>
    <row r="532" spans="1:24" ht="15.75" customHeight="1" x14ac:dyDescent="0.25">
      <c r="A532" s="39"/>
      <c r="B532" s="39"/>
      <c r="C532" s="39"/>
      <c r="D532" s="39"/>
      <c r="E532" s="39"/>
      <c r="F532" s="39"/>
      <c r="G532" s="39"/>
      <c r="H532" s="35"/>
      <c r="I532" s="88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</row>
    <row r="533" spans="1:24" ht="15.75" customHeight="1" x14ac:dyDescent="0.25">
      <c r="A533" s="39"/>
      <c r="B533" s="39"/>
      <c r="C533" s="39"/>
      <c r="D533" s="39"/>
      <c r="E533" s="39"/>
      <c r="F533" s="39"/>
      <c r="G533" s="39"/>
      <c r="H533" s="35"/>
      <c r="I533" s="88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</row>
    <row r="534" spans="1:24" ht="15.75" customHeight="1" x14ac:dyDescent="0.25">
      <c r="A534" s="39"/>
      <c r="B534" s="39"/>
      <c r="C534" s="39"/>
      <c r="D534" s="39"/>
      <c r="E534" s="39"/>
      <c r="F534" s="39"/>
      <c r="G534" s="39"/>
      <c r="H534" s="35"/>
      <c r="I534" s="88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</row>
    <row r="535" spans="1:24" ht="15.75" customHeight="1" x14ac:dyDescent="0.25">
      <c r="A535" s="39"/>
      <c r="B535" s="39"/>
      <c r="C535" s="39"/>
      <c r="D535" s="39"/>
      <c r="E535" s="39"/>
      <c r="F535" s="39"/>
      <c r="G535" s="39"/>
      <c r="H535" s="35"/>
      <c r="I535" s="88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</row>
    <row r="536" spans="1:24" ht="15.75" customHeight="1" x14ac:dyDescent="0.25">
      <c r="A536" s="39"/>
      <c r="B536" s="39"/>
      <c r="C536" s="39"/>
      <c r="D536" s="39"/>
      <c r="E536" s="39"/>
      <c r="F536" s="39"/>
      <c r="G536" s="39"/>
      <c r="H536" s="35"/>
      <c r="I536" s="88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</row>
    <row r="537" spans="1:24" ht="15.75" customHeight="1" x14ac:dyDescent="0.25">
      <c r="A537" s="39"/>
      <c r="B537" s="39"/>
      <c r="C537" s="39"/>
      <c r="D537" s="39"/>
      <c r="E537" s="39"/>
      <c r="F537" s="39"/>
      <c r="G537" s="39"/>
      <c r="H537" s="35"/>
      <c r="I537" s="88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</row>
    <row r="538" spans="1:24" ht="15.75" customHeight="1" x14ac:dyDescent="0.25">
      <c r="A538" s="39"/>
      <c r="B538" s="39"/>
      <c r="C538" s="39"/>
      <c r="D538" s="39"/>
      <c r="E538" s="39"/>
      <c r="F538" s="39"/>
      <c r="G538" s="39"/>
      <c r="H538" s="35"/>
      <c r="I538" s="88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</row>
    <row r="539" spans="1:24" ht="15.75" customHeight="1" x14ac:dyDescent="0.25">
      <c r="A539" s="39"/>
      <c r="B539" s="39"/>
      <c r="C539" s="39"/>
      <c r="D539" s="39"/>
      <c r="E539" s="39"/>
      <c r="F539" s="39"/>
      <c r="G539" s="39"/>
      <c r="H539" s="35"/>
      <c r="I539" s="88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</row>
    <row r="540" spans="1:24" ht="15.75" customHeight="1" x14ac:dyDescent="0.25">
      <c r="A540" s="39"/>
      <c r="B540" s="39"/>
      <c r="C540" s="39"/>
      <c r="D540" s="39"/>
      <c r="E540" s="39"/>
      <c r="F540" s="39"/>
      <c r="G540" s="39"/>
      <c r="H540" s="35"/>
      <c r="I540" s="88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</row>
    <row r="541" spans="1:24" ht="15.75" customHeight="1" x14ac:dyDescent="0.25">
      <c r="A541" s="39"/>
      <c r="B541" s="39"/>
      <c r="C541" s="39"/>
      <c r="D541" s="39"/>
      <c r="E541" s="39"/>
      <c r="F541" s="39"/>
      <c r="G541" s="39"/>
      <c r="H541" s="35"/>
      <c r="I541" s="88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</row>
    <row r="542" spans="1:24" ht="15.75" customHeight="1" x14ac:dyDescent="0.25">
      <c r="A542" s="39"/>
      <c r="B542" s="39"/>
      <c r="C542" s="39"/>
      <c r="D542" s="39"/>
      <c r="E542" s="39"/>
      <c r="F542" s="39"/>
      <c r="G542" s="39"/>
      <c r="H542" s="35"/>
      <c r="I542" s="88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</row>
    <row r="543" spans="1:24" ht="15.75" customHeight="1" x14ac:dyDescent="0.25">
      <c r="A543" s="39"/>
      <c r="B543" s="39"/>
      <c r="C543" s="39"/>
      <c r="D543" s="39"/>
      <c r="E543" s="39"/>
      <c r="F543" s="39"/>
      <c r="G543" s="39"/>
      <c r="H543" s="35"/>
      <c r="I543" s="88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</row>
    <row r="544" spans="1:24" ht="15.75" customHeight="1" x14ac:dyDescent="0.25">
      <c r="A544" s="39"/>
      <c r="B544" s="39"/>
      <c r="C544" s="39"/>
      <c r="D544" s="39"/>
      <c r="E544" s="39"/>
      <c r="F544" s="39"/>
      <c r="G544" s="39"/>
      <c r="H544" s="35"/>
      <c r="I544" s="88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</row>
    <row r="545" spans="1:24" ht="15.75" customHeight="1" x14ac:dyDescent="0.25">
      <c r="A545" s="39"/>
      <c r="B545" s="39"/>
      <c r="C545" s="39"/>
      <c r="D545" s="39"/>
      <c r="E545" s="39"/>
      <c r="F545" s="39"/>
      <c r="G545" s="39"/>
      <c r="H545" s="35"/>
      <c r="I545" s="88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</row>
    <row r="546" spans="1:24" ht="15.75" customHeight="1" x14ac:dyDescent="0.25">
      <c r="A546" s="39"/>
      <c r="B546" s="39"/>
      <c r="C546" s="39"/>
      <c r="D546" s="39"/>
      <c r="E546" s="39"/>
      <c r="F546" s="39"/>
      <c r="G546" s="39"/>
      <c r="H546" s="35"/>
      <c r="I546" s="88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</row>
    <row r="547" spans="1:24" ht="15.75" customHeight="1" x14ac:dyDescent="0.25">
      <c r="A547" s="39"/>
      <c r="B547" s="39"/>
      <c r="C547" s="39"/>
      <c r="D547" s="39"/>
      <c r="E547" s="39"/>
      <c r="F547" s="39"/>
      <c r="G547" s="39"/>
      <c r="H547" s="35"/>
      <c r="I547" s="88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</row>
    <row r="548" spans="1:24" ht="15.75" customHeight="1" x14ac:dyDescent="0.25">
      <c r="A548" s="39"/>
      <c r="B548" s="39"/>
      <c r="C548" s="39"/>
      <c r="D548" s="39"/>
      <c r="E548" s="39"/>
      <c r="F548" s="39"/>
      <c r="G548" s="39"/>
      <c r="H548" s="35"/>
      <c r="I548" s="88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</row>
    <row r="549" spans="1:24" ht="15.75" customHeight="1" x14ac:dyDescent="0.25">
      <c r="A549" s="39"/>
      <c r="B549" s="39"/>
      <c r="C549" s="39"/>
      <c r="D549" s="39"/>
      <c r="E549" s="39"/>
      <c r="F549" s="39"/>
      <c r="G549" s="39"/>
      <c r="H549" s="35"/>
      <c r="I549" s="88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</row>
    <row r="550" spans="1:24" ht="15.75" customHeight="1" x14ac:dyDescent="0.25">
      <c r="A550" s="39"/>
      <c r="B550" s="39"/>
      <c r="C550" s="39"/>
      <c r="D550" s="39"/>
      <c r="E550" s="39"/>
      <c r="F550" s="39"/>
      <c r="G550" s="39"/>
      <c r="H550" s="35"/>
      <c r="I550" s="88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</row>
    <row r="551" spans="1:24" ht="15.75" customHeight="1" x14ac:dyDescent="0.25">
      <c r="A551" s="39"/>
      <c r="B551" s="39"/>
      <c r="C551" s="39"/>
      <c r="D551" s="39"/>
      <c r="E551" s="39"/>
      <c r="F551" s="39"/>
      <c r="G551" s="39"/>
      <c r="H551" s="35"/>
      <c r="I551" s="88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</row>
    <row r="552" spans="1:24" ht="15.75" customHeight="1" x14ac:dyDescent="0.25">
      <c r="A552" s="39"/>
      <c r="B552" s="39"/>
      <c r="C552" s="39"/>
      <c r="D552" s="39"/>
      <c r="E552" s="39"/>
      <c r="F552" s="39"/>
      <c r="G552" s="39"/>
      <c r="H552" s="35"/>
      <c r="I552" s="88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</row>
    <row r="553" spans="1:24" ht="15.75" customHeight="1" x14ac:dyDescent="0.25">
      <c r="A553" s="39"/>
      <c r="B553" s="39"/>
      <c r="C553" s="39"/>
      <c r="D553" s="39"/>
      <c r="E553" s="39"/>
      <c r="F553" s="39"/>
      <c r="G553" s="39"/>
      <c r="H553" s="35"/>
      <c r="I553" s="88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</row>
    <row r="554" spans="1:24" ht="15.75" customHeight="1" x14ac:dyDescent="0.25">
      <c r="A554" s="39"/>
      <c r="B554" s="39"/>
      <c r="C554" s="39"/>
      <c r="D554" s="39"/>
      <c r="E554" s="39"/>
      <c r="F554" s="39"/>
      <c r="G554" s="39"/>
      <c r="H554" s="35"/>
      <c r="I554" s="88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</row>
    <row r="555" spans="1:24" ht="15.75" customHeight="1" x14ac:dyDescent="0.25">
      <c r="A555" s="39"/>
      <c r="B555" s="39"/>
      <c r="C555" s="39"/>
      <c r="D555" s="39"/>
      <c r="E555" s="39"/>
      <c r="F555" s="39"/>
      <c r="G555" s="39"/>
      <c r="H555" s="35"/>
      <c r="I555" s="88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</row>
    <row r="556" spans="1:24" ht="15.75" customHeight="1" x14ac:dyDescent="0.25">
      <c r="A556" s="39"/>
      <c r="B556" s="39"/>
      <c r="C556" s="39"/>
      <c r="D556" s="39"/>
      <c r="E556" s="39"/>
      <c r="F556" s="39"/>
      <c r="G556" s="39"/>
      <c r="H556" s="35"/>
      <c r="I556" s="88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</row>
    <row r="557" spans="1:24" ht="15.75" customHeight="1" x14ac:dyDescent="0.25">
      <c r="A557" s="39"/>
      <c r="B557" s="39"/>
      <c r="C557" s="39"/>
      <c r="D557" s="39"/>
      <c r="E557" s="39"/>
      <c r="F557" s="39"/>
      <c r="G557" s="39"/>
      <c r="H557" s="35"/>
      <c r="I557" s="88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</row>
    <row r="558" spans="1:24" ht="15.75" customHeight="1" x14ac:dyDescent="0.25">
      <c r="A558" s="39"/>
      <c r="B558" s="39"/>
      <c r="C558" s="39"/>
      <c r="D558" s="39"/>
      <c r="E558" s="39"/>
      <c r="F558" s="39"/>
      <c r="G558" s="39"/>
      <c r="H558" s="35"/>
      <c r="I558" s="88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</row>
    <row r="559" spans="1:24" ht="15.75" customHeight="1" x14ac:dyDescent="0.25">
      <c r="A559" s="39"/>
      <c r="B559" s="39"/>
      <c r="C559" s="39"/>
      <c r="D559" s="39"/>
      <c r="E559" s="39"/>
      <c r="F559" s="39"/>
      <c r="G559" s="39"/>
      <c r="H559" s="35"/>
      <c r="I559" s="88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</row>
    <row r="560" spans="1:24" ht="15.75" customHeight="1" x14ac:dyDescent="0.25">
      <c r="A560" s="39"/>
      <c r="B560" s="39"/>
      <c r="C560" s="39"/>
      <c r="D560" s="39"/>
      <c r="E560" s="39"/>
      <c r="F560" s="39"/>
      <c r="G560" s="39"/>
      <c r="H560" s="35"/>
      <c r="I560" s="88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</row>
    <row r="561" spans="1:24" ht="15.75" customHeight="1" x14ac:dyDescent="0.25">
      <c r="A561" s="39"/>
      <c r="B561" s="39"/>
      <c r="C561" s="39"/>
      <c r="D561" s="39"/>
      <c r="E561" s="39"/>
      <c r="F561" s="39"/>
      <c r="G561" s="39"/>
      <c r="H561" s="35"/>
      <c r="I561" s="88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</row>
    <row r="562" spans="1:24" ht="15.75" customHeight="1" x14ac:dyDescent="0.25">
      <c r="A562" s="39"/>
      <c r="B562" s="39"/>
      <c r="C562" s="39"/>
      <c r="D562" s="39"/>
      <c r="E562" s="39"/>
      <c r="F562" s="39"/>
      <c r="G562" s="39"/>
      <c r="H562" s="35"/>
      <c r="I562" s="88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</row>
    <row r="563" spans="1:24" ht="15.75" customHeight="1" x14ac:dyDescent="0.25">
      <c r="A563" s="39"/>
      <c r="B563" s="39"/>
      <c r="C563" s="39"/>
      <c r="D563" s="39"/>
      <c r="E563" s="39"/>
      <c r="F563" s="39"/>
      <c r="G563" s="39"/>
      <c r="H563" s="35"/>
      <c r="I563" s="88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</row>
    <row r="564" spans="1:24" ht="15.75" customHeight="1" x14ac:dyDescent="0.25">
      <c r="A564" s="39"/>
      <c r="B564" s="39"/>
      <c r="C564" s="39"/>
      <c r="D564" s="39"/>
      <c r="E564" s="39"/>
      <c r="F564" s="39"/>
      <c r="G564" s="39"/>
      <c r="H564" s="35"/>
      <c r="I564" s="88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</row>
    <row r="565" spans="1:24" ht="15.75" customHeight="1" x14ac:dyDescent="0.25">
      <c r="A565" s="39"/>
      <c r="B565" s="39"/>
      <c r="C565" s="39"/>
      <c r="D565" s="39"/>
      <c r="E565" s="39"/>
      <c r="F565" s="39"/>
      <c r="G565" s="39"/>
      <c r="H565" s="35"/>
      <c r="I565" s="88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</row>
    <row r="566" spans="1:24" ht="15.75" customHeight="1" x14ac:dyDescent="0.25">
      <c r="A566" s="39"/>
      <c r="B566" s="39"/>
      <c r="C566" s="39"/>
      <c r="D566" s="39"/>
      <c r="E566" s="39"/>
      <c r="F566" s="39"/>
      <c r="G566" s="39"/>
      <c r="H566" s="35"/>
      <c r="I566" s="88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</row>
    <row r="567" spans="1:24" ht="15.75" customHeight="1" x14ac:dyDescent="0.25">
      <c r="A567" s="39"/>
      <c r="B567" s="39"/>
      <c r="C567" s="39"/>
      <c r="D567" s="39"/>
      <c r="E567" s="39"/>
      <c r="F567" s="39"/>
      <c r="G567" s="39"/>
      <c r="H567" s="35"/>
      <c r="I567" s="88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</row>
    <row r="568" spans="1:24" ht="15.75" customHeight="1" x14ac:dyDescent="0.25">
      <c r="A568" s="39"/>
      <c r="B568" s="39"/>
      <c r="C568" s="39"/>
      <c r="D568" s="39"/>
      <c r="E568" s="39"/>
      <c r="F568" s="39"/>
      <c r="G568" s="39"/>
      <c r="H568" s="35"/>
      <c r="I568" s="88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</row>
    <row r="569" spans="1:24" ht="15.75" customHeight="1" x14ac:dyDescent="0.25">
      <c r="A569" s="39"/>
      <c r="B569" s="39"/>
      <c r="C569" s="39"/>
      <c r="D569" s="39"/>
      <c r="E569" s="39"/>
      <c r="F569" s="39"/>
      <c r="G569" s="39"/>
      <c r="H569" s="35"/>
      <c r="I569" s="88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</row>
    <row r="570" spans="1:24" ht="15.75" customHeight="1" x14ac:dyDescent="0.25">
      <c r="A570" s="39"/>
      <c r="B570" s="39"/>
      <c r="C570" s="39"/>
      <c r="D570" s="39"/>
      <c r="E570" s="39"/>
      <c r="F570" s="39"/>
      <c r="G570" s="39"/>
      <c r="H570" s="35"/>
      <c r="I570" s="88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</row>
    <row r="571" spans="1:24" ht="15.75" customHeight="1" x14ac:dyDescent="0.25">
      <c r="A571" s="39"/>
      <c r="B571" s="39"/>
      <c r="C571" s="39"/>
      <c r="D571" s="39"/>
      <c r="E571" s="39"/>
      <c r="F571" s="39"/>
      <c r="G571" s="39"/>
      <c r="H571" s="35"/>
      <c r="I571" s="88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</row>
    <row r="572" spans="1:24" ht="15.75" customHeight="1" x14ac:dyDescent="0.25">
      <c r="A572" s="39"/>
      <c r="B572" s="39"/>
      <c r="C572" s="39"/>
      <c r="D572" s="39"/>
      <c r="E572" s="39"/>
      <c r="F572" s="39"/>
      <c r="G572" s="39"/>
      <c r="H572" s="35"/>
      <c r="I572" s="88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</row>
    <row r="573" spans="1:24" ht="15.75" customHeight="1" x14ac:dyDescent="0.25">
      <c r="A573" s="39"/>
      <c r="B573" s="39"/>
      <c r="C573" s="39"/>
      <c r="D573" s="39"/>
      <c r="E573" s="39"/>
      <c r="F573" s="39"/>
      <c r="G573" s="39"/>
      <c r="H573" s="35"/>
      <c r="I573" s="88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</row>
    <row r="574" spans="1:24" ht="15.75" customHeight="1" x14ac:dyDescent="0.25">
      <c r="A574" s="39"/>
      <c r="B574" s="39"/>
      <c r="C574" s="39"/>
      <c r="D574" s="39"/>
      <c r="E574" s="39"/>
      <c r="F574" s="39"/>
      <c r="G574" s="39"/>
      <c r="H574" s="35"/>
      <c r="I574" s="88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</row>
    <row r="575" spans="1:24" ht="15.75" customHeight="1" x14ac:dyDescent="0.25">
      <c r="A575" s="39"/>
      <c r="B575" s="39"/>
      <c r="C575" s="39"/>
      <c r="D575" s="39"/>
      <c r="E575" s="39"/>
      <c r="F575" s="39"/>
      <c r="G575" s="39"/>
      <c r="H575" s="35"/>
      <c r="I575" s="88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</row>
    <row r="576" spans="1:24" ht="15.75" customHeight="1" x14ac:dyDescent="0.25">
      <c r="A576" s="39"/>
      <c r="B576" s="39"/>
      <c r="C576" s="39"/>
      <c r="D576" s="39"/>
      <c r="E576" s="39"/>
      <c r="F576" s="39"/>
      <c r="G576" s="39"/>
      <c r="H576" s="35"/>
      <c r="I576" s="88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</row>
    <row r="577" spans="1:24" ht="15.75" customHeight="1" x14ac:dyDescent="0.25">
      <c r="A577" s="39"/>
      <c r="B577" s="39"/>
      <c r="C577" s="39"/>
      <c r="D577" s="39"/>
      <c r="E577" s="39"/>
      <c r="F577" s="39"/>
      <c r="G577" s="39"/>
      <c r="H577" s="35"/>
      <c r="I577" s="88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</row>
    <row r="578" spans="1:24" ht="15.75" customHeight="1" x14ac:dyDescent="0.25">
      <c r="A578" s="39"/>
      <c r="B578" s="39"/>
      <c r="C578" s="39"/>
      <c r="D578" s="39"/>
      <c r="E578" s="39"/>
      <c r="F578" s="39"/>
      <c r="G578" s="39"/>
      <c r="H578" s="35"/>
      <c r="I578" s="88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</row>
    <row r="579" spans="1:24" ht="15.75" customHeight="1" x14ac:dyDescent="0.25">
      <c r="A579" s="39"/>
      <c r="B579" s="39"/>
      <c r="C579" s="39"/>
      <c r="D579" s="39"/>
      <c r="E579" s="39"/>
      <c r="F579" s="39"/>
      <c r="G579" s="39"/>
      <c r="H579" s="35"/>
      <c r="I579" s="88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</row>
    <row r="580" spans="1:24" ht="15.75" customHeight="1" x14ac:dyDescent="0.25">
      <c r="A580" s="39"/>
      <c r="B580" s="39"/>
      <c r="C580" s="39"/>
      <c r="D580" s="39"/>
      <c r="E580" s="39"/>
      <c r="F580" s="39"/>
      <c r="G580" s="39"/>
      <c r="H580" s="35"/>
      <c r="I580" s="88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</row>
    <row r="581" spans="1:24" ht="15.75" customHeight="1" x14ac:dyDescent="0.25">
      <c r="A581" s="39"/>
      <c r="B581" s="39"/>
      <c r="C581" s="39"/>
      <c r="D581" s="39"/>
      <c r="E581" s="39"/>
      <c r="F581" s="39"/>
      <c r="G581" s="39"/>
      <c r="H581" s="35"/>
      <c r="I581" s="88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</row>
    <row r="582" spans="1:24" ht="15.75" customHeight="1" x14ac:dyDescent="0.25">
      <c r="A582" s="39"/>
      <c r="B582" s="39"/>
      <c r="C582" s="39"/>
      <c r="D582" s="39"/>
      <c r="E582" s="39"/>
      <c r="F582" s="39"/>
      <c r="G582" s="39"/>
      <c r="H582" s="35"/>
      <c r="I582" s="88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</row>
    <row r="583" spans="1:24" ht="15.75" customHeight="1" x14ac:dyDescent="0.25">
      <c r="A583" s="39"/>
      <c r="B583" s="39"/>
      <c r="C583" s="39"/>
      <c r="D583" s="39"/>
      <c r="E583" s="39"/>
      <c r="F583" s="39"/>
      <c r="G583" s="39"/>
      <c r="H583" s="35"/>
      <c r="I583" s="88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</row>
    <row r="584" spans="1:24" ht="15.75" customHeight="1" x14ac:dyDescent="0.25">
      <c r="A584" s="39"/>
      <c r="B584" s="39"/>
      <c r="C584" s="39"/>
      <c r="D584" s="39"/>
      <c r="E584" s="39"/>
      <c r="F584" s="39"/>
      <c r="G584" s="39"/>
      <c r="H584" s="35"/>
      <c r="I584" s="88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</row>
    <row r="585" spans="1:24" ht="15.75" customHeight="1" x14ac:dyDescent="0.25">
      <c r="A585" s="39"/>
      <c r="B585" s="39"/>
      <c r="C585" s="39"/>
      <c r="D585" s="39"/>
      <c r="E585" s="39"/>
      <c r="F585" s="39"/>
      <c r="G585" s="39"/>
      <c r="H585" s="35"/>
      <c r="I585" s="88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</row>
    <row r="586" spans="1:24" ht="15.75" customHeight="1" x14ac:dyDescent="0.25">
      <c r="A586" s="39"/>
      <c r="B586" s="39"/>
      <c r="C586" s="39"/>
      <c r="D586" s="39"/>
      <c r="E586" s="39"/>
      <c r="F586" s="39"/>
      <c r="G586" s="39"/>
      <c r="H586" s="35"/>
      <c r="I586" s="88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</row>
    <row r="587" spans="1:24" ht="15.75" customHeight="1" x14ac:dyDescent="0.25">
      <c r="A587" s="39"/>
      <c r="B587" s="39"/>
      <c r="C587" s="39"/>
      <c r="D587" s="39"/>
      <c r="E587" s="39"/>
      <c r="F587" s="39"/>
      <c r="G587" s="39"/>
      <c r="H587" s="35"/>
      <c r="I587" s="88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</row>
    <row r="588" spans="1:24" ht="15.75" customHeight="1" x14ac:dyDescent="0.25">
      <c r="A588" s="39"/>
      <c r="B588" s="39"/>
      <c r="C588" s="39"/>
      <c r="D588" s="39"/>
      <c r="E588" s="39"/>
      <c r="F588" s="39"/>
      <c r="G588" s="39"/>
      <c r="H588" s="35"/>
      <c r="I588" s="88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</row>
    <row r="589" spans="1:24" ht="15.75" customHeight="1" x14ac:dyDescent="0.25">
      <c r="A589" s="39"/>
      <c r="B589" s="39"/>
      <c r="C589" s="39"/>
      <c r="D589" s="39"/>
      <c r="E589" s="39"/>
      <c r="F589" s="39"/>
      <c r="G589" s="39"/>
      <c r="H589" s="35"/>
      <c r="I589" s="88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</row>
    <row r="590" spans="1:24" ht="15.75" customHeight="1" x14ac:dyDescent="0.25">
      <c r="A590" s="39"/>
      <c r="B590" s="39"/>
      <c r="C590" s="39"/>
      <c r="D590" s="39"/>
      <c r="E590" s="39"/>
      <c r="F590" s="39"/>
      <c r="G590" s="39"/>
      <c r="H590" s="35"/>
      <c r="I590" s="88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</row>
    <row r="591" spans="1:24" ht="15.75" customHeight="1" x14ac:dyDescent="0.25">
      <c r="A591" s="39"/>
      <c r="B591" s="39"/>
      <c r="C591" s="39"/>
      <c r="D591" s="39"/>
      <c r="E591" s="39"/>
      <c r="F591" s="39"/>
      <c r="G591" s="39"/>
      <c r="H591" s="35"/>
      <c r="I591" s="88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</row>
    <row r="592" spans="1:24" ht="15.75" customHeight="1" x14ac:dyDescent="0.25">
      <c r="A592" s="39"/>
      <c r="B592" s="39"/>
      <c r="C592" s="39"/>
      <c r="D592" s="39"/>
      <c r="E592" s="39"/>
      <c r="F592" s="39"/>
      <c r="G592" s="39"/>
      <c r="H592" s="35"/>
      <c r="I592" s="88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</row>
    <row r="593" spans="1:24" ht="15.75" customHeight="1" x14ac:dyDescent="0.25">
      <c r="A593" s="39"/>
      <c r="B593" s="39"/>
      <c r="C593" s="39"/>
      <c r="D593" s="39"/>
      <c r="E593" s="39"/>
      <c r="F593" s="39"/>
      <c r="G593" s="39"/>
      <c r="H593" s="35"/>
      <c r="I593" s="88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</row>
    <row r="594" spans="1:24" ht="15.75" customHeight="1" x14ac:dyDescent="0.25">
      <c r="A594" s="39"/>
      <c r="B594" s="39"/>
      <c r="C594" s="39"/>
      <c r="D594" s="39"/>
      <c r="E594" s="39"/>
      <c r="F594" s="39"/>
      <c r="G594" s="39"/>
      <c r="H594" s="35"/>
      <c r="I594" s="88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</row>
    <row r="595" spans="1:24" ht="15.75" customHeight="1" x14ac:dyDescent="0.25">
      <c r="A595" s="39"/>
      <c r="B595" s="39"/>
      <c r="C595" s="39"/>
      <c r="D595" s="39"/>
      <c r="E595" s="39"/>
      <c r="F595" s="39"/>
      <c r="G595" s="39"/>
      <c r="H595" s="35"/>
      <c r="I595" s="88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</row>
    <row r="596" spans="1:24" ht="15.75" customHeight="1" x14ac:dyDescent="0.25">
      <c r="A596" s="39"/>
      <c r="B596" s="39"/>
      <c r="C596" s="39"/>
      <c r="D596" s="39"/>
      <c r="E596" s="39"/>
      <c r="F596" s="39"/>
      <c r="G596" s="39"/>
      <c r="H596" s="35"/>
      <c r="I596" s="88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</row>
    <row r="597" spans="1:24" ht="15.75" customHeight="1" x14ac:dyDescent="0.25">
      <c r="A597" s="39"/>
      <c r="B597" s="39"/>
      <c r="C597" s="39"/>
      <c r="D597" s="39"/>
      <c r="E597" s="39"/>
      <c r="F597" s="39"/>
      <c r="G597" s="39"/>
      <c r="H597" s="35"/>
      <c r="I597" s="88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</row>
    <row r="598" spans="1:24" ht="15.75" customHeight="1" x14ac:dyDescent="0.25">
      <c r="A598" s="39"/>
      <c r="B598" s="39"/>
      <c r="C598" s="39"/>
      <c r="D598" s="39"/>
      <c r="E598" s="39"/>
      <c r="F598" s="39"/>
      <c r="G598" s="39"/>
      <c r="H598" s="35"/>
      <c r="I598" s="88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</row>
    <row r="599" spans="1:24" ht="15.75" customHeight="1" x14ac:dyDescent="0.25">
      <c r="A599" s="39"/>
      <c r="B599" s="39"/>
      <c r="C599" s="39"/>
      <c r="D599" s="39"/>
      <c r="E599" s="39"/>
      <c r="F599" s="39"/>
      <c r="G599" s="39"/>
      <c r="H599" s="35"/>
      <c r="I599" s="88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</row>
    <row r="600" spans="1:24" ht="15.75" customHeight="1" x14ac:dyDescent="0.25">
      <c r="A600" s="39"/>
      <c r="B600" s="39"/>
      <c r="C600" s="39"/>
      <c r="D600" s="39"/>
      <c r="E600" s="39"/>
      <c r="F600" s="39"/>
      <c r="G600" s="39"/>
      <c r="H600" s="35"/>
      <c r="I600" s="88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</row>
    <row r="601" spans="1:24" ht="15.75" customHeight="1" x14ac:dyDescent="0.25">
      <c r="A601" s="39"/>
      <c r="B601" s="39"/>
      <c r="C601" s="39"/>
      <c r="D601" s="39"/>
      <c r="E601" s="39"/>
      <c r="F601" s="39"/>
      <c r="G601" s="39"/>
      <c r="H601" s="35"/>
      <c r="I601" s="88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</row>
    <row r="602" spans="1:24" ht="15.75" customHeight="1" x14ac:dyDescent="0.25">
      <c r="A602" s="39"/>
      <c r="B602" s="39"/>
      <c r="C602" s="39"/>
      <c r="D602" s="39"/>
      <c r="E602" s="39"/>
      <c r="F602" s="39"/>
      <c r="G602" s="39"/>
      <c r="H602" s="35"/>
      <c r="I602" s="88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</row>
    <row r="603" spans="1:24" ht="15.75" customHeight="1" x14ac:dyDescent="0.25">
      <c r="A603" s="39"/>
      <c r="B603" s="39"/>
      <c r="C603" s="39"/>
      <c r="D603" s="39"/>
      <c r="E603" s="39"/>
      <c r="F603" s="39"/>
      <c r="G603" s="39"/>
      <c r="H603" s="35"/>
      <c r="I603" s="88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</row>
    <row r="604" spans="1:24" ht="15.75" customHeight="1" x14ac:dyDescent="0.25">
      <c r="A604" s="39"/>
      <c r="B604" s="39"/>
      <c r="C604" s="39"/>
      <c r="D604" s="39"/>
      <c r="E604" s="39"/>
      <c r="F604" s="39"/>
      <c r="G604" s="39"/>
      <c r="H604" s="35"/>
      <c r="I604" s="88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</row>
    <row r="605" spans="1:24" ht="15.75" customHeight="1" x14ac:dyDescent="0.25">
      <c r="A605" s="39"/>
      <c r="B605" s="39"/>
      <c r="C605" s="39"/>
      <c r="D605" s="39"/>
      <c r="E605" s="39"/>
      <c r="F605" s="39"/>
      <c r="G605" s="39"/>
      <c r="H605" s="35"/>
      <c r="I605" s="88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</row>
    <row r="606" spans="1:24" ht="15.75" customHeight="1" x14ac:dyDescent="0.25">
      <c r="A606" s="39"/>
      <c r="B606" s="39"/>
      <c r="C606" s="39"/>
      <c r="D606" s="39"/>
      <c r="E606" s="39"/>
      <c r="F606" s="39"/>
      <c r="G606" s="39"/>
      <c r="H606" s="35"/>
      <c r="I606" s="88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</row>
    <row r="607" spans="1:24" ht="15.75" customHeight="1" x14ac:dyDescent="0.25">
      <c r="A607" s="39"/>
      <c r="B607" s="39"/>
      <c r="C607" s="39"/>
      <c r="D607" s="39"/>
      <c r="E607" s="39"/>
      <c r="F607" s="39"/>
      <c r="G607" s="39"/>
      <c r="H607" s="35"/>
      <c r="I607" s="88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</row>
    <row r="608" spans="1:24" ht="15.75" customHeight="1" x14ac:dyDescent="0.25">
      <c r="A608" s="39"/>
      <c r="B608" s="39"/>
      <c r="C608" s="39"/>
      <c r="D608" s="39"/>
      <c r="E608" s="39"/>
      <c r="F608" s="39"/>
      <c r="G608" s="39"/>
      <c r="H608" s="35"/>
      <c r="I608" s="88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</row>
    <row r="609" spans="1:24" ht="15.75" customHeight="1" x14ac:dyDescent="0.25">
      <c r="A609" s="39"/>
      <c r="B609" s="39"/>
      <c r="C609" s="39"/>
      <c r="D609" s="39"/>
      <c r="E609" s="39"/>
      <c r="F609" s="39"/>
      <c r="G609" s="39"/>
      <c r="H609" s="35"/>
      <c r="I609" s="88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</row>
    <row r="610" spans="1:24" ht="15.75" customHeight="1" x14ac:dyDescent="0.25">
      <c r="A610" s="39"/>
      <c r="B610" s="39"/>
      <c r="C610" s="39"/>
      <c r="D610" s="39"/>
      <c r="E610" s="39"/>
      <c r="F610" s="39"/>
      <c r="G610" s="39"/>
      <c r="H610" s="35"/>
      <c r="I610" s="88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</row>
    <row r="611" spans="1:24" ht="15.75" customHeight="1" x14ac:dyDescent="0.25">
      <c r="A611" s="39"/>
      <c r="B611" s="39"/>
      <c r="C611" s="39"/>
      <c r="D611" s="39"/>
      <c r="E611" s="39"/>
      <c r="F611" s="39"/>
      <c r="G611" s="39"/>
      <c r="H611" s="35"/>
      <c r="I611" s="88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</row>
    <row r="612" spans="1:24" ht="15.75" customHeight="1" x14ac:dyDescent="0.25">
      <c r="A612" s="39"/>
      <c r="B612" s="39"/>
      <c r="C612" s="39"/>
      <c r="D612" s="39"/>
      <c r="E612" s="39"/>
      <c r="F612" s="39"/>
      <c r="G612" s="39"/>
      <c r="H612" s="35"/>
      <c r="I612" s="88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</row>
    <row r="613" spans="1:24" ht="15.75" customHeight="1" x14ac:dyDescent="0.25">
      <c r="A613" s="39"/>
      <c r="B613" s="39"/>
      <c r="C613" s="39"/>
      <c r="D613" s="39"/>
      <c r="E613" s="39"/>
      <c r="F613" s="39"/>
      <c r="G613" s="39"/>
      <c r="H613" s="35"/>
      <c r="I613" s="88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</row>
    <row r="614" spans="1:24" ht="15.75" customHeight="1" x14ac:dyDescent="0.25">
      <c r="A614" s="39"/>
      <c r="B614" s="39"/>
      <c r="C614" s="39"/>
      <c r="D614" s="39"/>
      <c r="E614" s="39"/>
      <c r="F614" s="39"/>
      <c r="G614" s="39"/>
      <c r="H614" s="35"/>
      <c r="I614" s="88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</row>
    <row r="615" spans="1:24" ht="15.75" customHeight="1" x14ac:dyDescent="0.25">
      <c r="A615" s="39"/>
      <c r="B615" s="39"/>
      <c r="C615" s="39"/>
      <c r="D615" s="39"/>
      <c r="E615" s="39"/>
      <c r="F615" s="39"/>
      <c r="G615" s="39"/>
      <c r="H615" s="35"/>
      <c r="I615" s="88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</row>
    <row r="616" spans="1:24" ht="15.75" customHeight="1" x14ac:dyDescent="0.25">
      <c r="A616" s="39"/>
      <c r="B616" s="39"/>
      <c r="C616" s="39"/>
      <c r="D616" s="39"/>
      <c r="E616" s="39"/>
      <c r="F616" s="39"/>
      <c r="G616" s="39"/>
      <c r="H616" s="35"/>
      <c r="I616" s="88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</row>
    <row r="617" spans="1:24" ht="15.75" customHeight="1" x14ac:dyDescent="0.25">
      <c r="A617" s="39"/>
      <c r="B617" s="39"/>
      <c r="C617" s="39"/>
      <c r="D617" s="39"/>
      <c r="E617" s="39"/>
      <c r="F617" s="39"/>
      <c r="G617" s="39"/>
      <c r="H617" s="35"/>
      <c r="I617" s="88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</row>
    <row r="618" spans="1:24" ht="15.75" customHeight="1" x14ac:dyDescent="0.25">
      <c r="A618" s="39"/>
      <c r="B618" s="39"/>
      <c r="C618" s="39"/>
      <c r="D618" s="39"/>
      <c r="E618" s="39"/>
      <c r="F618" s="39"/>
      <c r="G618" s="39"/>
      <c r="H618" s="35"/>
      <c r="I618" s="88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</row>
    <row r="619" spans="1:24" ht="15.75" customHeight="1" x14ac:dyDescent="0.25">
      <c r="A619" s="39"/>
      <c r="B619" s="39"/>
      <c r="C619" s="39"/>
      <c r="D619" s="39"/>
      <c r="E619" s="39"/>
      <c r="F619" s="39"/>
      <c r="G619" s="39"/>
      <c r="H619" s="35"/>
      <c r="I619" s="88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</row>
    <row r="620" spans="1:24" ht="15.75" customHeight="1" x14ac:dyDescent="0.25">
      <c r="A620" s="39"/>
      <c r="B620" s="39"/>
      <c r="C620" s="39"/>
      <c r="D620" s="39"/>
      <c r="E620" s="39"/>
      <c r="F620" s="39"/>
      <c r="G620" s="39"/>
      <c r="H620" s="35"/>
      <c r="I620" s="88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</row>
    <row r="621" spans="1:24" ht="15.75" customHeight="1" x14ac:dyDescent="0.25">
      <c r="A621" s="39"/>
      <c r="B621" s="39"/>
      <c r="C621" s="39"/>
      <c r="D621" s="39"/>
      <c r="E621" s="39"/>
      <c r="F621" s="39"/>
      <c r="G621" s="39"/>
      <c r="H621" s="35"/>
      <c r="I621" s="88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</row>
    <row r="622" spans="1:24" ht="15.75" customHeight="1" x14ac:dyDescent="0.25">
      <c r="A622" s="39"/>
      <c r="B622" s="39"/>
      <c r="C622" s="39"/>
      <c r="D622" s="39"/>
      <c r="E622" s="39"/>
      <c r="F622" s="39"/>
      <c r="G622" s="39"/>
      <c r="H622" s="35"/>
      <c r="I622" s="88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</row>
    <row r="623" spans="1:24" ht="15.75" customHeight="1" x14ac:dyDescent="0.25">
      <c r="A623" s="39"/>
      <c r="B623" s="39"/>
      <c r="C623" s="39"/>
      <c r="D623" s="39"/>
      <c r="E623" s="39"/>
      <c r="F623" s="39"/>
      <c r="G623" s="39"/>
      <c r="H623" s="35"/>
      <c r="I623" s="88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</row>
    <row r="624" spans="1:24" ht="15.75" customHeight="1" x14ac:dyDescent="0.25">
      <c r="A624" s="39"/>
      <c r="B624" s="39"/>
      <c r="C624" s="39"/>
      <c r="D624" s="39"/>
      <c r="E624" s="39"/>
      <c r="F624" s="39"/>
      <c r="G624" s="39"/>
      <c r="H624" s="35"/>
      <c r="I624" s="88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</row>
    <row r="625" spans="1:24" ht="15.75" customHeight="1" x14ac:dyDescent="0.25">
      <c r="A625" s="39"/>
      <c r="B625" s="39"/>
      <c r="C625" s="39"/>
      <c r="D625" s="39"/>
      <c r="E625" s="39"/>
      <c r="F625" s="39"/>
      <c r="G625" s="39"/>
      <c r="H625" s="35"/>
      <c r="I625" s="88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</row>
    <row r="626" spans="1:24" ht="15.75" customHeight="1" x14ac:dyDescent="0.25">
      <c r="A626" s="39"/>
      <c r="B626" s="39"/>
      <c r="C626" s="39"/>
      <c r="D626" s="39"/>
      <c r="E626" s="39"/>
      <c r="F626" s="39"/>
      <c r="G626" s="39"/>
      <c r="H626" s="35"/>
      <c r="I626" s="88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</row>
    <row r="627" spans="1:24" ht="15.75" customHeight="1" x14ac:dyDescent="0.25">
      <c r="A627" s="39"/>
      <c r="B627" s="39"/>
      <c r="C627" s="39"/>
      <c r="D627" s="39"/>
      <c r="E627" s="39"/>
      <c r="F627" s="39"/>
      <c r="G627" s="39"/>
      <c r="H627" s="35"/>
      <c r="I627" s="88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</row>
    <row r="628" spans="1:24" ht="15.75" customHeight="1" x14ac:dyDescent="0.25">
      <c r="A628" s="39"/>
      <c r="B628" s="39"/>
      <c r="C628" s="39"/>
      <c r="D628" s="39"/>
      <c r="E628" s="39"/>
      <c r="F628" s="39"/>
      <c r="G628" s="39"/>
      <c r="H628" s="35"/>
      <c r="I628" s="88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</row>
    <row r="629" spans="1:24" ht="15.75" customHeight="1" x14ac:dyDescent="0.25">
      <c r="A629" s="39"/>
      <c r="B629" s="39"/>
      <c r="C629" s="39"/>
      <c r="D629" s="39"/>
      <c r="E629" s="39"/>
      <c r="F629" s="39"/>
      <c r="G629" s="39"/>
      <c r="H629" s="35"/>
      <c r="I629" s="88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</row>
    <row r="630" spans="1:24" ht="15.75" customHeight="1" x14ac:dyDescent="0.25">
      <c r="A630" s="39"/>
      <c r="B630" s="39"/>
      <c r="C630" s="39"/>
      <c r="D630" s="39"/>
      <c r="E630" s="39"/>
      <c r="F630" s="39"/>
      <c r="G630" s="39"/>
      <c r="H630" s="35"/>
      <c r="I630" s="88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</row>
    <row r="631" spans="1:24" ht="15.75" customHeight="1" x14ac:dyDescent="0.25">
      <c r="A631" s="39"/>
      <c r="B631" s="39"/>
      <c r="C631" s="39"/>
      <c r="D631" s="39"/>
      <c r="E631" s="39"/>
      <c r="F631" s="39"/>
      <c r="G631" s="39"/>
      <c r="H631" s="35"/>
      <c r="I631" s="88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</row>
    <row r="632" spans="1:24" ht="15.75" customHeight="1" x14ac:dyDescent="0.25">
      <c r="A632" s="39"/>
      <c r="B632" s="39"/>
      <c r="C632" s="39"/>
      <c r="D632" s="39"/>
      <c r="E632" s="39"/>
      <c r="F632" s="39"/>
      <c r="G632" s="39"/>
      <c r="H632" s="35"/>
      <c r="I632" s="88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</row>
    <row r="633" spans="1:24" ht="15.75" customHeight="1" x14ac:dyDescent="0.25">
      <c r="A633" s="39"/>
      <c r="B633" s="39"/>
      <c r="C633" s="39"/>
      <c r="D633" s="39"/>
      <c r="E633" s="39"/>
      <c r="F633" s="39"/>
      <c r="G633" s="39"/>
      <c r="H633" s="35"/>
      <c r="I633" s="88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</row>
    <row r="634" spans="1:24" ht="15.75" customHeight="1" x14ac:dyDescent="0.25">
      <c r="A634" s="39"/>
      <c r="B634" s="39"/>
      <c r="C634" s="39"/>
      <c r="D634" s="39"/>
      <c r="E634" s="39"/>
      <c r="F634" s="39"/>
      <c r="G634" s="39"/>
      <c r="H634" s="35"/>
      <c r="I634" s="88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</row>
    <row r="635" spans="1:24" ht="15.75" customHeight="1" x14ac:dyDescent="0.25">
      <c r="A635" s="39"/>
      <c r="B635" s="39"/>
      <c r="C635" s="39"/>
      <c r="D635" s="39"/>
      <c r="E635" s="39"/>
      <c r="F635" s="39"/>
      <c r="G635" s="39"/>
      <c r="H635" s="35"/>
      <c r="I635" s="88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</row>
    <row r="636" spans="1:24" ht="15.75" customHeight="1" x14ac:dyDescent="0.25">
      <c r="A636" s="39"/>
      <c r="B636" s="39"/>
      <c r="C636" s="39"/>
      <c r="D636" s="39"/>
      <c r="E636" s="39"/>
      <c r="F636" s="39"/>
      <c r="G636" s="39"/>
      <c r="H636" s="35"/>
      <c r="I636" s="88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</row>
    <row r="637" spans="1:24" ht="15.75" customHeight="1" x14ac:dyDescent="0.25">
      <c r="A637" s="39"/>
      <c r="B637" s="39"/>
      <c r="C637" s="39"/>
      <c r="D637" s="39"/>
      <c r="E637" s="39"/>
      <c r="F637" s="39"/>
      <c r="G637" s="39"/>
      <c r="H637" s="35"/>
      <c r="I637" s="88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</row>
    <row r="638" spans="1:24" ht="15.75" customHeight="1" x14ac:dyDescent="0.25">
      <c r="A638" s="39"/>
      <c r="B638" s="39"/>
      <c r="C638" s="39"/>
      <c r="D638" s="39"/>
      <c r="E638" s="39"/>
      <c r="F638" s="39"/>
      <c r="G638" s="39"/>
      <c r="H638" s="35"/>
      <c r="I638" s="88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</row>
    <row r="639" spans="1:24" ht="15.75" customHeight="1" x14ac:dyDescent="0.25">
      <c r="A639" s="39"/>
      <c r="B639" s="39"/>
      <c r="C639" s="39"/>
      <c r="D639" s="39"/>
      <c r="E639" s="39"/>
      <c r="F639" s="39"/>
      <c r="G639" s="39"/>
      <c r="H639" s="35"/>
      <c r="I639" s="88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</row>
    <row r="640" spans="1:24" ht="15.75" customHeight="1" x14ac:dyDescent="0.25">
      <c r="A640" s="39"/>
      <c r="B640" s="39"/>
      <c r="C640" s="39"/>
      <c r="D640" s="39"/>
      <c r="E640" s="39"/>
      <c r="F640" s="39"/>
      <c r="G640" s="39"/>
      <c r="H640" s="35"/>
      <c r="I640" s="88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</row>
    <row r="641" spans="1:24" ht="15.75" customHeight="1" x14ac:dyDescent="0.25">
      <c r="A641" s="39"/>
      <c r="B641" s="39"/>
      <c r="C641" s="39"/>
      <c r="D641" s="39"/>
      <c r="E641" s="39"/>
      <c r="F641" s="39"/>
      <c r="G641" s="39"/>
      <c r="H641" s="35"/>
      <c r="I641" s="88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</row>
    <row r="642" spans="1:24" ht="15.75" customHeight="1" x14ac:dyDescent="0.25">
      <c r="A642" s="39"/>
      <c r="B642" s="39"/>
      <c r="C642" s="39"/>
      <c r="D642" s="39"/>
      <c r="E642" s="39"/>
      <c r="F642" s="39"/>
      <c r="G642" s="39"/>
      <c r="H642" s="35"/>
      <c r="I642" s="88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</row>
    <row r="643" spans="1:24" ht="15.75" customHeight="1" x14ac:dyDescent="0.25">
      <c r="A643" s="39"/>
      <c r="B643" s="39"/>
      <c r="C643" s="39"/>
      <c r="D643" s="39"/>
      <c r="E643" s="39"/>
      <c r="F643" s="39"/>
      <c r="G643" s="39"/>
      <c r="H643" s="35"/>
      <c r="I643" s="88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</row>
    <row r="644" spans="1:24" ht="15.75" customHeight="1" x14ac:dyDescent="0.25">
      <c r="A644" s="39"/>
      <c r="B644" s="39"/>
      <c r="C644" s="39"/>
      <c r="D644" s="39"/>
      <c r="E644" s="39"/>
      <c r="F644" s="39"/>
      <c r="G644" s="39"/>
      <c r="H644" s="35"/>
      <c r="I644" s="88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</row>
    <row r="645" spans="1:24" ht="15.75" customHeight="1" x14ac:dyDescent="0.25">
      <c r="A645" s="39"/>
      <c r="B645" s="39"/>
      <c r="C645" s="39"/>
      <c r="D645" s="39"/>
      <c r="E645" s="39"/>
      <c r="F645" s="39"/>
      <c r="G645" s="39"/>
      <c r="H645" s="35"/>
      <c r="I645" s="88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</row>
    <row r="646" spans="1:24" ht="15.75" customHeight="1" x14ac:dyDescent="0.25">
      <c r="A646" s="39"/>
      <c r="B646" s="39"/>
      <c r="C646" s="39"/>
      <c r="D646" s="39"/>
      <c r="E646" s="39"/>
      <c r="F646" s="39"/>
      <c r="G646" s="39"/>
      <c r="H646" s="35"/>
      <c r="I646" s="88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</row>
    <row r="647" spans="1:24" ht="15.75" customHeight="1" x14ac:dyDescent="0.25">
      <c r="A647" s="39"/>
      <c r="B647" s="39"/>
      <c r="C647" s="39"/>
      <c r="D647" s="39"/>
      <c r="E647" s="39"/>
      <c r="F647" s="39"/>
      <c r="G647" s="39"/>
      <c r="H647" s="35"/>
      <c r="I647" s="88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</row>
    <row r="648" spans="1:24" ht="15.75" customHeight="1" x14ac:dyDescent="0.25">
      <c r="A648" s="39"/>
      <c r="B648" s="39"/>
      <c r="C648" s="39"/>
      <c r="D648" s="39"/>
      <c r="E648" s="39"/>
      <c r="F648" s="39"/>
      <c r="G648" s="39"/>
      <c r="H648" s="35"/>
      <c r="I648" s="88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</row>
    <row r="649" spans="1:24" ht="15.75" customHeight="1" x14ac:dyDescent="0.25">
      <c r="A649" s="39"/>
      <c r="B649" s="39"/>
      <c r="C649" s="39"/>
      <c r="D649" s="39"/>
      <c r="E649" s="39"/>
      <c r="F649" s="39"/>
      <c r="G649" s="39"/>
      <c r="H649" s="35"/>
      <c r="I649" s="88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</row>
    <row r="650" spans="1:24" ht="15.75" customHeight="1" x14ac:dyDescent="0.25">
      <c r="A650" s="39"/>
      <c r="B650" s="39"/>
      <c r="C650" s="39"/>
      <c r="D650" s="39"/>
      <c r="E650" s="39"/>
      <c r="F650" s="39"/>
      <c r="G650" s="39"/>
      <c r="H650" s="35"/>
      <c r="I650" s="88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</row>
    <row r="651" spans="1:24" ht="15.75" customHeight="1" x14ac:dyDescent="0.25">
      <c r="A651" s="39"/>
      <c r="B651" s="39"/>
      <c r="C651" s="39"/>
      <c r="D651" s="39"/>
      <c r="E651" s="39"/>
      <c r="F651" s="39"/>
      <c r="G651" s="39"/>
      <c r="H651" s="35"/>
      <c r="I651" s="88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</row>
    <row r="652" spans="1:24" ht="15.75" customHeight="1" x14ac:dyDescent="0.25">
      <c r="A652" s="39"/>
      <c r="B652" s="39"/>
      <c r="C652" s="39"/>
      <c r="D652" s="39"/>
      <c r="E652" s="39"/>
      <c r="F652" s="39"/>
      <c r="G652" s="39"/>
      <c r="H652" s="35"/>
      <c r="I652" s="88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</row>
    <row r="653" spans="1:24" ht="15.75" customHeight="1" x14ac:dyDescent="0.25">
      <c r="A653" s="39"/>
      <c r="B653" s="39"/>
      <c r="C653" s="39"/>
      <c r="D653" s="39"/>
      <c r="E653" s="39"/>
      <c r="F653" s="39"/>
      <c r="G653" s="39"/>
      <c r="H653" s="35"/>
      <c r="I653" s="88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</row>
    <row r="654" spans="1:24" ht="15.75" customHeight="1" x14ac:dyDescent="0.25">
      <c r="A654" s="39"/>
      <c r="B654" s="39"/>
      <c r="C654" s="39"/>
      <c r="D654" s="39"/>
      <c r="E654" s="39"/>
      <c r="F654" s="39"/>
      <c r="G654" s="39"/>
      <c r="H654" s="35"/>
      <c r="I654" s="88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</row>
    <row r="655" spans="1:24" ht="15.75" customHeight="1" x14ac:dyDescent="0.25">
      <c r="A655" s="39"/>
      <c r="B655" s="39"/>
      <c r="C655" s="39"/>
      <c r="D655" s="39"/>
      <c r="E655" s="39"/>
      <c r="F655" s="39"/>
      <c r="G655" s="39"/>
      <c r="H655" s="35"/>
      <c r="I655" s="88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</row>
    <row r="656" spans="1:24" ht="15.75" customHeight="1" x14ac:dyDescent="0.25">
      <c r="A656" s="39"/>
      <c r="B656" s="39"/>
      <c r="C656" s="39"/>
      <c r="D656" s="39"/>
      <c r="E656" s="39"/>
      <c r="F656" s="39"/>
      <c r="G656" s="39"/>
      <c r="H656" s="35"/>
      <c r="I656" s="88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</row>
    <row r="657" spans="1:24" ht="15.75" customHeight="1" x14ac:dyDescent="0.25">
      <c r="A657" s="39"/>
      <c r="B657" s="39"/>
      <c r="C657" s="39"/>
      <c r="D657" s="39"/>
      <c r="E657" s="39"/>
      <c r="F657" s="39"/>
      <c r="G657" s="39"/>
      <c r="H657" s="35"/>
      <c r="I657" s="88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</row>
    <row r="658" spans="1:24" ht="15.75" customHeight="1" x14ac:dyDescent="0.25">
      <c r="A658" s="39"/>
      <c r="B658" s="39"/>
      <c r="C658" s="39"/>
      <c r="D658" s="39"/>
      <c r="E658" s="39"/>
      <c r="F658" s="39"/>
      <c r="G658" s="39"/>
      <c r="H658" s="35"/>
      <c r="I658" s="88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</row>
    <row r="659" spans="1:24" ht="15.75" customHeight="1" x14ac:dyDescent="0.25">
      <c r="A659" s="39"/>
      <c r="B659" s="39"/>
      <c r="C659" s="39"/>
      <c r="D659" s="39"/>
      <c r="E659" s="39"/>
      <c r="F659" s="39"/>
      <c r="G659" s="39"/>
      <c r="H659" s="35"/>
      <c r="I659" s="88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</row>
    <row r="660" spans="1:24" ht="15.75" customHeight="1" x14ac:dyDescent="0.25">
      <c r="A660" s="39"/>
      <c r="B660" s="39"/>
      <c r="C660" s="39"/>
      <c r="D660" s="39"/>
      <c r="E660" s="39"/>
      <c r="F660" s="39"/>
      <c r="G660" s="39"/>
      <c r="H660" s="35"/>
      <c r="I660" s="88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</row>
    <row r="661" spans="1:24" ht="15.75" customHeight="1" x14ac:dyDescent="0.25">
      <c r="A661" s="39"/>
      <c r="B661" s="39"/>
      <c r="C661" s="39"/>
      <c r="D661" s="39"/>
      <c r="E661" s="39"/>
      <c r="F661" s="39"/>
      <c r="G661" s="39"/>
      <c r="H661" s="35"/>
      <c r="I661" s="88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</row>
    <row r="662" spans="1:24" ht="15.75" customHeight="1" x14ac:dyDescent="0.25">
      <c r="A662" s="39"/>
      <c r="B662" s="39"/>
      <c r="C662" s="39"/>
      <c r="D662" s="39"/>
      <c r="E662" s="39"/>
      <c r="F662" s="39"/>
      <c r="G662" s="39"/>
      <c r="H662" s="35"/>
      <c r="I662" s="88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</row>
    <row r="663" spans="1:24" ht="15.75" customHeight="1" x14ac:dyDescent="0.25">
      <c r="A663" s="39"/>
      <c r="B663" s="39"/>
      <c r="C663" s="39"/>
      <c r="D663" s="39"/>
      <c r="E663" s="39"/>
      <c r="F663" s="39"/>
      <c r="G663" s="39"/>
      <c r="H663" s="35"/>
      <c r="I663" s="88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</row>
    <row r="664" spans="1:24" ht="15.75" customHeight="1" x14ac:dyDescent="0.25">
      <c r="A664" s="39"/>
      <c r="B664" s="39"/>
      <c r="C664" s="39"/>
      <c r="D664" s="39"/>
      <c r="E664" s="39"/>
      <c r="F664" s="39"/>
      <c r="G664" s="39"/>
      <c r="H664" s="35"/>
      <c r="I664" s="88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</row>
    <row r="665" spans="1:24" ht="15.75" customHeight="1" x14ac:dyDescent="0.25">
      <c r="A665" s="39"/>
      <c r="B665" s="39"/>
      <c r="C665" s="39"/>
      <c r="D665" s="39"/>
      <c r="E665" s="39"/>
      <c r="F665" s="39"/>
      <c r="G665" s="39"/>
      <c r="H665" s="35"/>
      <c r="I665" s="88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</row>
    <row r="666" spans="1:24" ht="15.75" customHeight="1" x14ac:dyDescent="0.25">
      <c r="A666" s="39"/>
      <c r="B666" s="39"/>
      <c r="C666" s="39"/>
      <c r="D666" s="39"/>
      <c r="E666" s="39"/>
      <c r="F666" s="39"/>
      <c r="G666" s="39"/>
      <c r="H666" s="35"/>
      <c r="I666" s="88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</row>
    <row r="667" spans="1:24" ht="15.75" customHeight="1" x14ac:dyDescent="0.25">
      <c r="A667" s="39"/>
      <c r="B667" s="39"/>
      <c r="C667" s="39"/>
      <c r="D667" s="39"/>
      <c r="E667" s="39"/>
      <c r="F667" s="39"/>
      <c r="G667" s="39"/>
      <c r="H667" s="35"/>
      <c r="I667" s="88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</row>
    <row r="668" spans="1:24" ht="15.75" customHeight="1" x14ac:dyDescent="0.25">
      <c r="A668" s="39"/>
      <c r="B668" s="39"/>
      <c r="C668" s="39"/>
      <c r="D668" s="39"/>
      <c r="E668" s="39"/>
      <c r="F668" s="39"/>
      <c r="G668" s="39"/>
      <c r="H668" s="35"/>
      <c r="I668" s="88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</row>
    <row r="669" spans="1:24" ht="15.75" customHeight="1" x14ac:dyDescent="0.25">
      <c r="A669" s="39"/>
      <c r="B669" s="39"/>
      <c r="C669" s="39"/>
      <c r="D669" s="39"/>
      <c r="E669" s="39"/>
      <c r="F669" s="39"/>
      <c r="G669" s="39"/>
      <c r="H669" s="35"/>
      <c r="I669" s="88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</row>
    <row r="670" spans="1:24" ht="15.75" customHeight="1" x14ac:dyDescent="0.25">
      <c r="A670" s="39"/>
      <c r="B670" s="39"/>
      <c r="C670" s="39"/>
      <c r="D670" s="39"/>
      <c r="E670" s="39"/>
      <c r="F670" s="39"/>
      <c r="G670" s="39"/>
      <c r="H670" s="35"/>
      <c r="I670" s="88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</row>
    <row r="671" spans="1:24" ht="15.75" customHeight="1" x14ac:dyDescent="0.25">
      <c r="A671" s="39"/>
      <c r="B671" s="39"/>
      <c r="C671" s="39"/>
      <c r="D671" s="39"/>
      <c r="E671" s="39"/>
      <c r="F671" s="39"/>
      <c r="G671" s="39"/>
      <c r="H671" s="35"/>
      <c r="I671" s="88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</row>
    <row r="672" spans="1:24" ht="15.75" customHeight="1" x14ac:dyDescent="0.25">
      <c r="A672" s="39"/>
      <c r="B672" s="39"/>
      <c r="C672" s="39"/>
      <c r="D672" s="39"/>
      <c r="E672" s="39"/>
      <c r="F672" s="39"/>
      <c r="G672" s="39"/>
      <c r="H672" s="35"/>
      <c r="I672" s="88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</row>
    <row r="673" spans="1:24" ht="15.75" customHeight="1" x14ac:dyDescent="0.25">
      <c r="A673" s="39"/>
      <c r="B673" s="39"/>
      <c r="C673" s="39"/>
      <c r="D673" s="39"/>
      <c r="E673" s="39"/>
      <c r="F673" s="39"/>
      <c r="G673" s="39"/>
      <c r="H673" s="35"/>
      <c r="I673" s="88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</row>
    <row r="674" spans="1:24" ht="15.75" customHeight="1" x14ac:dyDescent="0.25">
      <c r="A674" s="39"/>
      <c r="B674" s="39"/>
      <c r="C674" s="39"/>
      <c r="D674" s="39"/>
      <c r="E674" s="39"/>
      <c r="F674" s="39"/>
      <c r="G674" s="39"/>
      <c r="H674" s="35"/>
      <c r="I674" s="88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</row>
    <row r="675" spans="1:24" ht="15.75" customHeight="1" x14ac:dyDescent="0.25">
      <c r="A675" s="39"/>
      <c r="B675" s="39"/>
      <c r="C675" s="39"/>
      <c r="D675" s="39"/>
      <c r="E675" s="39"/>
      <c r="F675" s="39"/>
      <c r="G675" s="39"/>
      <c r="H675" s="35"/>
      <c r="I675" s="88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</row>
    <row r="676" spans="1:24" ht="15.75" customHeight="1" x14ac:dyDescent="0.25">
      <c r="A676" s="39"/>
      <c r="B676" s="39"/>
      <c r="C676" s="39"/>
      <c r="D676" s="39"/>
      <c r="E676" s="39"/>
      <c r="F676" s="39"/>
      <c r="G676" s="39"/>
      <c r="H676" s="35"/>
      <c r="I676" s="88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</row>
    <row r="677" spans="1:24" ht="15.75" customHeight="1" x14ac:dyDescent="0.25">
      <c r="A677" s="39"/>
      <c r="B677" s="39"/>
      <c r="C677" s="39"/>
      <c r="D677" s="39"/>
      <c r="E677" s="39"/>
      <c r="F677" s="39"/>
      <c r="G677" s="39"/>
      <c r="H677" s="35"/>
      <c r="I677" s="88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</row>
    <row r="678" spans="1:24" ht="15.75" customHeight="1" x14ac:dyDescent="0.25">
      <c r="A678" s="39"/>
      <c r="B678" s="39"/>
      <c r="C678" s="39"/>
      <c r="D678" s="39"/>
      <c r="E678" s="39"/>
      <c r="F678" s="39"/>
      <c r="G678" s="39"/>
      <c r="H678" s="35"/>
      <c r="I678" s="88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</row>
    <row r="679" spans="1:24" ht="15.75" customHeight="1" x14ac:dyDescent="0.25">
      <c r="A679" s="39"/>
      <c r="B679" s="39"/>
      <c r="C679" s="39"/>
      <c r="D679" s="39"/>
      <c r="E679" s="39"/>
      <c r="F679" s="39"/>
      <c r="G679" s="39"/>
      <c r="H679" s="35"/>
      <c r="I679" s="88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</row>
    <row r="680" spans="1:24" ht="15.75" customHeight="1" x14ac:dyDescent="0.25">
      <c r="A680" s="39"/>
      <c r="B680" s="39"/>
      <c r="C680" s="39"/>
      <c r="D680" s="39"/>
      <c r="E680" s="39"/>
      <c r="F680" s="39"/>
      <c r="G680" s="39"/>
      <c r="H680" s="35"/>
      <c r="I680" s="88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</row>
    <row r="681" spans="1:24" ht="15.75" customHeight="1" x14ac:dyDescent="0.25">
      <c r="A681" s="39"/>
      <c r="B681" s="39"/>
      <c r="C681" s="39"/>
      <c r="D681" s="39"/>
      <c r="E681" s="39"/>
      <c r="F681" s="39"/>
      <c r="G681" s="39"/>
      <c r="H681" s="35"/>
      <c r="I681" s="88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</row>
    <row r="682" spans="1:24" ht="15.75" customHeight="1" x14ac:dyDescent="0.25">
      <c r="A682" s="39"/>
      <c r="B682" s="39"/>
      <c r="C682" s="39"/>
      <c r="D682" s="39"/>
      <c r="E682" s="39"/>
      <c r="F682" s="39"/>
      <c r="G682" s="39"/>
      <c r="H682" s="35"/>
      <c r="I682" s="88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</row>
    <row r="683" spans="1:24" ht="15.75" customHeight="1" x14ac:dyDescent="0.25">
      <c r="A683" s="39"/>
      <c r="B683" s="39"/>
      <c r="C683" s="39"/>
      <c r="D683" s="39"/>
      <c r="E683" s="39"/>
      <c r="F683" s="39"/>
      <c r="G683" s="39"/>
      <c r="H683" s="35"/>
      <c r="I683" s="88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</row>
    <row r="684" spans="1:24" ht="15.75" customHeight="1" x14ac:dyDescent="0.25">
      <c r="A684" s="39"/>
      <c r="B684" s="39"/>
      <c r="C684" s="39"/>
      <c r="D684" s="39"/>
      <c r="E684" s="39"/>
      <c r="F684" s="39"/>
      <c r="G684" s="39"/>
      <c r="H684" s="35"/>
      <c r="I684" s="88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</row>
    <row r="685" spans="1:24" ht="15.75" customHeight="1" x14ac:dyDescent="0.25">
      <c r="A685" s="39"/>
      <c r="B685" s="39"/>
      <c r="C685" s="39"/>
      <c r="D685" s="39"/>
      <c r="E685" s="39"/>
      <c r="F685" s="39"/>
      <c r="G685" s="39"/>
      <c r="H685" s="35"/>
      <c r="I685" s="88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</row>
    <row r="686" spans="1:24" ht="15.75" customHeight="1" x14ac:dyDescent="0.25">
      <c r="A686" s="39"/>
      <c r="B686" s="39"/>
      <c r="C686" s="39"/>
      <c r="D686" s="39"/>
      <c r="E686" s="39"/>
      <c r="F686" s="39"/>
      <c r="G686" s="39"/>
      <c r="H686" s="35"/>
      <c r="I686" s="88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</row>
    <row r="687" spans="1:24" ht="15.75" customHeight="1" x14ac:dyDescent="0.25">
      <c r="A687" s="39"/>
      <c r="B687" s="39"/>
      <c r="C687" s="39"/>
      <c r="D687" s="39"/>
      <c r="E687" s="39"/>
      <c r="F687" s="39"/>
      <c r="G687" s="39"/>
      <c r="H687" s="35"/>
      <c r="I687" s="88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</row>
    <row r="688" spans="1:24" ht="15.75" customHeight="1" x14ac:dyDescent="0.25">
      <c r="A688" s="39"/>
      <c r="B688" s="39"/>
      <c r="C688" s="39"/>
      <c r="D688" s="39"/>
      <c r="E688" s="39"/>
      <c r="F688" s="39"/>
      <c r="G688" s="39"/>
      <c r="H688" s="35"/>
      <c r="I688" s="88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</row>
    <row r="689" spans="1:24" ht="15.75" customHeight="1" x14ac:dyDescent="0.25">
      <c r="A689" s="39"/>
      <c r="B689" s="39"/>
      <c r="C689" s="39"/>
      <c r="D689" s="39"/>
      <c r="E689" s="39"/>
      <c r="F689" s="39"/>
      <c r="G689" s="39"/>
      <c r="H689" s="35"/>
      <c r="I689" s="88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</row>
    <row r="690" spans="1:24" ht="15.75" customHeight="1" x14ac:dyDescent="0.25">
      <c r="A690" s="39"/>
      <c r="B690" s="39"/>
      <c r="C690" s="39"/>
      <c r="D690" s="39"/>
      <c r="E690" s="39"/>
      <c r="F690" s="39"/>
      <c r="G690" s="39"/>
      <c r="H690" s="35"/>
      <c r="I690" s="88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</row>
    <row r="691" spans="1:24" ht="15.75" customHeight="1" x14ac:dyDescent="0.25">
      <c r="A691" s="39"/>
      <c r="B691" s="39"/>
      <c r="C691" s="39"/>
      <c r="D691" s="39"/>
      <c r="E691" s="39"/>
      <c r="F691" s="39"/>
      <c r="G691" s="39"/>
      <c r="H691" s="35"/>
      <c r="I691" s="88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</row>
    <row r="692" spans="1:24" ht="15.75" customHeight="1" x14ac:dyDescent="0.25">
      <c r="A692" s="39"/>
      <c r="B692" s="39"/>
      <c r="C692" s="39"/>
      <c r="D692" s="39"/>
      <c r="E692" s="39"/>
      <c r="F692" s="39"/>
      <c r="G692" s="39"/>
      <c r="H692" s="35"/>
      <c r="I692" s="88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</row>
    <row r="693" spans="1:24" ht="15.75" customHeight="1" x14ac:dyDescent="0.25">
      <c r="A693" s="39"/>
      <c r="B693" s="39"/>
      <c r="C693" s="39"/>
      <c r="D693" s="39"/>
      <c r="E693" s="39"/>
      <c r="F693" s="39"/>
      <c r="G693" s="39"/>
      <c r="H693" s="35"/>
      <c r="I693" s="88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</row>
    <row r="694" spans="1:24" ht="15.75" customHeight="1" x14ac:dyDescent="0.25">
      <c r="A694" s="39"/>
      <c r="B694" s="39"/>
      <c r="C694" s="39"/>
      <c r="D694" s="39"/>
      <c r="E694" s="39"/>
      <c r="F694" s="39"/>
      <c r="G694" s="39"/>
      <c r="H694" s="35"/>
      <c r="I694" s="88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</row>
    <row r="695" spans="1:24" ht="15.75" customHeight="1" x14ac:dyDescent="0.25">
      <c r="A695" s="39"/>
      <c r="B695" s="39"/>
      <c r="C695" s="39"/>
      <c r="D695" s="39"/>
      <c r="E695" s="39"/>
      <c r="F695" s="39"/>
      <c r="G695" s="39"/>
      <c r="H695" s="35"/>
      <c r="I695" s="88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</row>
    <row r="696" spans="1:24" ht="15.75" customHeight="1" x14ac:dyDescent="0.25">
      <c r="A696" s="39"/>
      <c r="B696" s="39"/>
      <c r="C696" s="39"/>
      <c r="D696" s="39"/>
      <c r="E696" s="39"/>
      <c r="F696" s="39"/>
      <c r="G696" s="39"/>
      <c r="H696" s="35"/>
      <c r="I696" s="88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</row>
    <row r="697" spans="1:24" ht="15.75" customHeight="1" x14ac:dyDescent="0.25">
      <c r="A697" s="39"/>
      <c r="B697" s="39"/>
      <c r="C697" s="39"/>
      <c r="D697" s="39"/>
      <c r="E697" s="39"/>
      <c r="F697" s="39"/>
      <c r="G697" s="39"/>
      <c r="H697" s="35"/>
      <c r="I697" s="88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</row>
    <row r="698" spans="1:24" ht="15.75" customHeight="1" x14ac:dyDescent="0.25">
      <c r="A698" s="39"/>
      <c r="B698" s="39"/>
      <c r="C698" s="39"/>
      <c r="D698" s="39"/>
      <c r="E698" s="39"/>
      <c r="F698" s="39"/>
      <c r="G698" s="39"/>
      <c r="H698" s="35"/>
      <c r="I698" s="88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</row>
    <row r="699" spans="1:24" ht="15.75" customHeight="1" x14ac:dyDescent="0.25">
      <c r="A699" s="39"/>
      <c r="B699" s="39"/>
      <c r="C699" s="39"/>
      <c r="D699" s="39"/>
      <c r="E699" s="39"/>
      <c r="F699" s="39"/>
      <c r="G699" s="39"/>
      <c r="H699" s="35"/>
      <c r="I699" s="88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</row>
    <row r="700" spans="1:24" ht="15.75" customHeight="1" x14ac:dyDescent="0.25">
      <c r="A700" s="39"/>
      <c r="B700" s="39"/>
      <c r="C700" s="39"/>
      <c r="D700" s="39"/>
      <c r="E700" s="39"/>
      <c r="F700" s="39"/>
      <c r="G700" s="39"/>
      <c r="H700" s="35"/>
      <c r="I700" s="88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</row>
    <row r="701" spans="1:24" ht="15.75" customHeight="1" x14ac:dyDescent="0.25">
      <c r="A701" s="39"/>
      <c r="B701" s="39"/>
      <c r="C701" s="39"/>
      <c r="D701" s="39"/>
      <c r="E701" s="39"/>
      <c r="F701" s="39"/>
      <c r="G701" s="39"/>
      <c r="H701" s="35"/>
      <c r="I701" s="88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</row>
    <row r="702" spans="1:24" ht="15.75" customHeight="1" x14ac:dyDescent="0.25">
      <c r="A702" s="39"/>
      <c r="B702" s="39"/>
      <c r="C702" s="39"/>
      <c r="D702" s="39"/>
      <c r="E702" s="39"/>
      <c r="F702" s="39"/>
      <c r="G702" s="39"/>
      <c r="H702" s="35"/>
      <c r="I702" s="88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</row>
    <row r="703" spans="1:24" ht="15.75" customHeight="1" x14ac:dyDescent="0.25">
      <c r="A703" s="39"/>
      <c r="B703" s="39"/>
      <c r="C703" s="39"/>
      <c r="D703" s="39"/>
      <c r="E703" s="39"/>
      <c r="F703" s="39"/>
      <c r="G703" s="39"/>
      <c r="H703" s="35"/>
      <c r="I703" s="88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</row>
    <row r="704" spans="1:24" ht="15.75" customHeight="1" x14ac:dyDescent="0.25">
      <c r="A704" s="39"/>
      <c r="B704" s="39"/>
      <c r="C704" s="39"/>
      <c r="D704" s="39"/>
      <c r="E704" s="39"/>
      <c r="F704" s="39"/>
      <c r="G704" s="39"/>
      <c r="H704" s="35"/>
      <c r="I704" s="88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</row>
    <row r="705" spans="1:24" ht="15.75" customHeight="1" x14ac:dyDescent="0.25">
      <c r="A705" s="39"/>
      <c r="B705" s="39"/>
      <c r="C705" s="39"/>
      <c r="D705" s="39"/>
      <c r="E705" s="39"/>
      <c r="F705" s="39"/>
      <c r="G705" s="39"/>
      <c r="H705" s="35"/>
      <c r="I705" s="88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</row>
    <row r="706" spans="1:24" ht="15.75" customHeight="1" x14ac:dyDescent="0.25">
      <c r="A706" s="39"/>
      <c r="B706" s="39"/>
      <c r="C706" s="39"/>
      <c r="D706" s="39"/>
      <c r="E706" s="39"/>
      <c r="F706" s="39"/>
      <c r="G706" s="39"/>
      <c r="H706" s="35"/>
      <c r="I706" s="88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</row>
    <row r="707" spans="1:24" ht="15.75" customHeight="1" x14ac:dyDescent="0.25">
      <c r="A707" s="39"/>
      <c r="B707" s="39"/>
      <c r="C707" s="39"/>
      <c r="D707" s="39"/>
      <c r="E707" s="39"/>
      <c r="F707" s="39"/>
      <c r="G707" s="39"/>
      <c r="H707" s="35"/>
      <c r="I707" s="88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</row>
    <row r="708" spans="1:24" ht="15.75" customHeight="1" x14ac:dyDescent="0.25">
      <c r="A708" s="39"/>
      <c r="B708" s="39"/>
      <c r="C708" s="39"/>
      <c r="D708" s="39"/>
      <c r="E708" s="39"/>
      <c r="F708" s="39"/>
      <c r="G708" s="39"/>
      <c r="H708" s="35"/>
      <c r="I708" s="88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</row>
    <row r="709" spans="1:24" ht="15.75" customHeight="1" x14ac:dyDescent="0.25">
      <c r="A709" s="39"/>
      <c r="B709" s="39"/>
      <c r="C709" s="39"/>
      <c r="D709" s="39"/>
      <c r="E709" s="39"/>
      <c r="F709" s="39"/>
      <c r="G709" s="39"/>
      <c r="H709" s="35"/>
      <c r="I709" s="88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</row>
    <row r="710" spans="1:24" ht="15.75" customHeight="1" x14ac:dyDescent="0.25">
      <c r="A710" s="39"/>
      <c r="B710" s="39"/>
      <c r="C710" s="39"/>
      <c r="D710" s="39"/>
      <c r="E710" s="39"/>
      <c r="F710" s="39"/>
      <c r="G710" s="39"/>
      <c r="H710" s="35"/>
      <c r="I710" s="88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</row>
    <row r="711" spans="1:24" ht="15.75" customHeight="1" x14ac:dyDescent="0.25">
      <c r="A711" s="39"/>
      <c r="B711" s="39"/>
      <c r="C711" s="39"/>
      <c r="D711" s="39"/>
      <c r="E711" s="39"/>
      <c r="F711" s="39"/>
      <c r="G711" s="39"/>
      <c r="H711" s="35"/>
      <c r="I711" s="88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</row>
    <row r="712" spans="1:24" ht="15.75" customHeight="1" x14ac:dyDescent="0.25">
      <c r="A712" s="39"/>
      <c r="B712" s="39"/>
      <c r="C712" s="39"/>
      <c r="D712" s="39"/>
      <c r="E712" s="39"/>
      <c r="F712" s="39"/>
      <c r="G712" s="39"/>
      <c r="H712" s="35"/>
      <c r="I712" s="88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</row>
    <row r="713" spans="1:24" ht="15.75" customHeight="1" x14ac:dyDescent="0.25">
      <c r="A713" s="39"/>
      <c r="B713" s="39"/>
      <c r="C713" s="39"/>
      <c r="D713" s="39"/>
      <c r="E713" s="39"/>
      <c r="F713" s="39"/>
      <c r="G713" s="39"/>
      <c r="H713" s="35"/>
      <c r="I713" s="88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</row>
    <row r="714" spans="1:24" ht="15.75" customHeight="1" x14ac:dyDescent="0.25">
      <c r="A714" s="39"/>
      <c r="B714" s="39"/>
      <c r="C714" s="39"/>
      <c r="D714" s="39"/>
      <c r="E714" s="39"/>
      <c r="F714" s="39"/>
      <c r="G714" s="39"/>
      <c r="H714" s="35"/>
      <c r="I714" s="88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</row>
    <row r="715" spans="1:24" ht="15.75" customHeight="1" x14ac:dyDescent="0.25">
      <c r="A715" s="39"/>
      <c r="B715" s="39"/>
      <c r="C715" s="39"/>
      <c r="D715" s="39"/>
      <c r="E715" s="39"/>
      <c r="F715" s="39"/>
      <c r="G715" s="39"/>
      <c r="H715" s="35"/>
      <c r="I715" s="88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</row>
    <row r="716" spans="1:24" ht="15.75" customHeight="1" x14ac:dyDescent="0.25">
      <c r="A716" s="39"/>
      <c r="B716" s="39"/>
      <c r="C716" s="39"/>
      <c r="D716" s="39"/>
      <c r="E716" s="39"/>
      <c r="F716" s="39"/>
      <c r="G716" s="39"/>
      <c r="H716" s="35"/>
      <c r="I716" s="88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</row>
    <row r="717" spans="1:24" ht="15.75" customHeight="1" x14ac:dyDescent="0.25">
      <c r="A717" s="39"/>
      <c r="B717" s="39"/>
      <c r="C717" s="39"/>
      <c r="D717" s="39"/>
      <c r="E717" s="39"/>
      <c r="F717" s="39"/>
      <c r="G717" s="39"/>
      <c r="H717" s="35"/>
      <c r="I717" s="88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</row>
    <row r="718" spans="1:24" ht="15.75" customHeight="1" x14ac:dyDescent="0.25">
      <c r="A718" s="39"/>
      <c r="B718" s="39"/>
      <c r="C718" s="39"/>
      <c r="D718" s="39"/>
      <c r="E718" s="39"/>
      <c r="F718" s="39"/>
      <c r="G718" s="39"/>
      <c r="H718" s="35"/>
      <c r="I718" s="88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</row>
    <row r="719" spans="1:24" ht="15.75" customHeight="1" x14ac:dyDescent="0.25">
      <c r="A719" s="39"/>
      <c r="B719" s="39"/>
      <c r="C719" s="39"/>
      <c r="D719" s="39"/>
      <c r="E719" s="39"/>
      <c r="F719" s="39"/>
      <c r="G719" s="39"/>
      <c r="H719" s="35"/>
      <c r="I719" s="88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</row>
    <row r="720" spans="1:24" ht="15.75" customHeight="1" x14ac:dyDescent="0.25">
      <c r="A720" s="39"/>
      <c r="B720" s="39"/>
      <c r="C720" s="39"/>
      <c r="D720" s="39"/>
      <c r="E720" s="39"/>
      <c r="F720" s="39"/>
      <c r="G720" s="39"/>
      <c r="H720" s="35"/>
      <c r="I720" s="88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</row>
    <row r="721" spans="1:24" ht="15.75" customHeight="1" x14ac:dyDescent="0.25">
      <c r="A721" s="39"/>
      <c r="B721" s="39"/>
      <c r="C721" s="39"/>
      <c r="D721" s="39"/>
      <c r="E721" s="39"/>
      <c r="F721" s="39"/>
      <c r="G721" s="39"/>
      <c r="H721" s="35"/>
      <c r="I721" s="88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</row>
    <row r="722" spans="1:24" ht="15.75" customHeight="1" x14ac:dyDescent="0.25">
      <c r="A722" s="39"/>
      <c r="B722" s="39"/>
      <c r="C722" s="39"/>
      <c r="D722" s="39"/>
      <c r="E722" s="39"/>
      <c r="F722" s="39"/>
      <c r="G722" s="39"/>
      <c r="H722" s="35"/>
      <c r="I722" s="88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</row>
    <row r="723" spans="1:24" ht="15.75" customHeight="1" x14ac:dyDescent="0.25">
      <c r="A723" s="39"/>
      <c r="B723" s="39"/>
      <c r="C723" s="39"/>
      <c r="D723" s="39"/>
      <c r="E723" s="39"/>
      <c r="F723" s="39"/>
      <c r="G723" s="39"/>
      <c r="H723" s="35"/>
      <c r="I723" s="88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</row>
    <row r="724" spans="1:24" ht="15.75" customHeight="1" x14ac:dyDescent="0.25">
      <c r="A724" s="39"/>
      <c r="B724" s="39"/>
      <c r="C724" s="39"/>
      <c r="D724" s="39"/>
      <c r="E724" s="39"/>
      <c r="F724" s="39"/>
      <c r="G724" s="39"/>
      <c r="H724" s="35"/>
      <c r="I724" s="88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</row>
    <row r="725" spans="1:24" ht="15.75" customHeight="1" x14ac:dyDescent="0.25">
      <c r="A725" s="39"/>
      <c r="B725" s="39"/>
      <c r="C725" s="39"/>
      <c r="D725" s="39"/>
      <c r="E725" s="39"/>
      <c r="F725" s="39"/>
      <c r="G725" s="39"/>
      <c r="H725" s="35"/>
      <c r="I725" s="88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</row>
    <row r="726" spans="1:24" ht="15.75" customHeight="1" x14ac:dyDescent="0.25">
      <c r="A726" s="39"/>
      <c r="B726" s="39"/>
      <c r="C726" s="39"/>
      <c r="D726" s="39"/>
      <c r="E726" s="39"/>
      <c r="F726" s="39"/>
      <c r="G726" s="39"/>
      <c r="H726" s="35"/>
      <c r="I726" s="88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</row>
    <row r="727" spans="1:24" ht="15.75" customHeight="1" x14ac:dyDescent="0.25">
      <c r="A727" s="39"/>
      <c r="B727" s="39"/>
      <c r="C727" s="39"/>
      <c r="D727" s="39"/>
      <c r="E727" s="39"/>
      <c r="F727" s="39"/>
      <c r="G727" s="39"/>
      <c r="H727" s="35"/>
      <c r="I727" s="88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</row>
    <row r="728" spans="1:24" ht="15.75" customHeight="1" x14ac:dyDescent="0.25">
      <c r="A728" s="39"/>
      <c r="B728" s="39"/>
      <c r="C728" s="39"/>
      <c r="D728" s="39"/>
      <c r="E728" s="39"/>
      <c r="F728" s="39"/>
      <c r="G728" s="39"/>
      <c r="H728" s="35"/>
      <c r="I728" s="88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</row>
    <row r="729" spans="1:24" ht="15.75" customHeight="1" x14ac:dyDescent="0.25">
      <c r="A729" s="39"/>
      <c r="B729" s="39"/>
      <c r="C729" s="39"/>
      <c r="D729" s="39"/>
      <c r="E729" s="39"/>
      <c r="F729" s="39"/>
      <c r="G729" s="39"/>
      <c r="H729" s="35"/>
      <c r="I729" s="88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</row>
    <row r="730" spans="1:24" ht="15.75" customHeight="1" x14ac:dyDescent="0.25">
      <c r="A730" s="39"/>
      <c r="B730" s="39"/>
      <c r="C730" s="39"/>
      <c r="D730" s="39"/>
      <c r="E730" s="39"/>
      <c r="F730" s="39"/>
      <c r="G730" s="39"/>
      <c r="H730" s="35"/>
      <c r="I730" s="88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</row>
    <row r="731" spans="1:24" ht="15.75" customHeight="1" x14ac:dyDescent="0.25">
      <c r="A731" s="39"/>
      <c r="B731" s="39"/>
      <c r="C731" s="39"/>
      <c r="D731" s="39"/>
      <c r="E731" s="39"/>
      <c r="F731" s="39"/>
      <c r="G731" s="39"/>
      <c r="H731" s="35"/>
      <c r="I731" s="88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</row>
    <row r="732" spans="1:24" ht="15.75" customHeight="1" x14ac:dyDescent="0.25">
      <c r="A732" s="39"/>
      <c r="B732" s="39"/>
      <c r="C732" s="39"/>
      <c r="D732" s="39"/>
      <c r="E732" s="39"/>
      <c r="F732" s="39"/>
      <c r="G732" s="39"/>
      <c r="H732" s="35"/>
      <c r="I732" s="88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</row>
    <row r="733" spans="1:24" ht="15.75" customHeight="1" x14ac:dyDescent="0.25">
      <c r="A733" s="39"/>
      <c r="B733" s="39"/>
      <c r="C733" s="39"/>
      <c r="D733" s="39"/>
      <c r="E733" s="39"/>
      <c r="F733" s="39"/>
      <c r="G733" s="39"/>
      <c r="H733" s="35"/>
      <c r="I733" s="88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</row>
    <row r="734" spans="1:24" ht="15.75" customHeight="1" x14ac:dyDescent="0.25">
      <c r="A734" s="39"/>
      <c r="B734" s="39"/>
      <c r="C734" s="39"/>
      <c r="D734" s="39"/>
      <c r="E734" s="39"/>
      <c r="F734" s="39"/>
      <c r="G734" s="39"/>
      <c r="H734" s="35"/>
      <c r="I734" s="88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</row>
    <row r="735" spans="1:24" ht="15.75" customHeight="1" x14ac:dyDescent="0.25">
      <c r="A735" s="39"/>
      <c r="B735" s="39"/>
      <c r="C735" s="39"/>
      <c r="D735" s="39"/>
      <c r="E735" s="39"/>
      <c r="F735" s="39"/>
      <c r="G735" s="39"/>
      <c r="H735" s="35"/>
      <c r="I735" s="88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</row>
    <row r="736" spans="1:24" ht="15.75" customHeight="1" x14ac:dyDescent="0.25">
      <c r="A736" s="39"/>
      <c r="B736" s="39"/>
      <c r="C736" s="39"/>
      <c r="D736" s="39"/>
      <c r="E736" s="39"/>
      <c r="F736" s="39"/>
      <c r="G736" s="39"/>
      <c r="H736" s="35"/>
      <c r="I736" s="88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</row>
    <row r="737" spans="1:24" ht="15.75" customHeight="1" x14ac:dyDescent="0.25">
      <c r="A737" s="39"/>
      <c r="B737" s="39"/>
      <c r="C737" s="39"/>
      <c r="D737" s="39"/>
      <c r="E737" s="39"/>
      <c r="F737" s="39"/>
      <c r="G737" s="39"/>
      <c r="H737" s="35"/>
      <c r="I737" s="88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</row>
    <row r="738" spans="1:24" ht="15.75" customHeight="1" x14ac:dyDescent="0.25">
      <c r="A738" s="39"/>
      <c r="B738" s="39"/>
      <c r="C738" s="39"/>
      <c r="D738" s="39"/>
      <c r="E738" s="39"/>
      <c r="F738" s="39"/>
      <c r="G738" s="39"/>
      <c r="H738" s="35"/>
      <c r="I738" s="88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</row>
    <row r="739" spans="1:24" ht="15.75" customHeight="1" x14ac:dyDescent="0.25">
      <c r="A739" s="39"/>
      <c r="B739" s="39"/>
      <c r="C739" s="39"/>
      <c r="D739" s="39"/>
      <c r="E739" s="39"/>
      <c r="F739" s="39"/>
      <c r="G739" s="39"/>
      <c r="H739" s="35"/>
      <c r="I739" s="88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</row>
    <row r="740" spans="1:24" ht="15.75" customHeight="1" x14ac:dyDescent="0.25">
      <c r="A740" s="39"/>
      <c r="B740" s="39"/>
      <c r="C740" s="39"/>
      <c r="D740" s="39"/>
      <c r="E740" s="39"/>
      <c r="F740" s="39"/>
      <c r="G740" s="39"/>
      <c r="H740" s="35"/>
      <c r="I740" s="88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</row>
    <row r="741" spans="1:24" ht="15.75" customHeight="1" x14ac:dyDescent="0.25">
      <c r="A741" s="39"/>
      <c r="B741" s="39"/>
      <c r="C741" s="39"/>
      <c r="D741" s="39"/>
      <c r="E741" s="39"/>
      <c r="F741" s="39"/>
      <c r="G741" s="39"/>
      <c r="H741" s="35"/>
      <c r="I741" s="88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</row>
    <row r="742" spans="1:24" ht="15.75" customHeight="1" x14ac:dyDescent="0.25">
      <c r="A742" s="39"/>
      <c r="B742" s="39"/>
      <c r="C742" s="39"/>
      <c r="D742" s="39"/>
      <c r="E742" s="39"/>
      <c r="F742" s="39"/>
      <c r="G742" s="39"/>
      <c r="H742" s="35"/>
      <c r="I742" s="88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</row>
    <row r="743" spans="1:24" ht="15.75" customHeight="1" x14ac:dyDescent="0.25">
      <c r="A743" s="39"/>
      <c r="B743" s="39"/>
      <c r="C743" s="39"/>
      <c r="D743" s="39"/>
      <c r="E743" s="39"/>
      <c r="F743" s="39"/>
      <c r="G743" s="39"/>
      <c r="H743" s="35"/>
      <c r="I743" s="88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</row>
    <row r="744" spans="1:24" ht="15.75" customHeight="1" x14ac:dyDescent="0.25">
      <c r="A744" s="39"/>
      <c r="B744" s="39"/>
      <c r="C744" s="39"/>
      <c r="D744" s="39"/>
      <c r="E744" s="39"/>
      <c r="F744" s="39"/>
      <c r="G744" s="39"/>
      <c r="H744" s="35"/>
      <c r="I744" s="88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</row>
    <row r="745" spans="1:24" ht="15.75" customHeight="1" x14ac:dyDescent="0.25">
      <c r="A745" s="39"/>
      <c r="B745" s="39"/>
      <c r="C745" s="39"/>
      <c r="D745" s="39"/>
      <c r="E745" s="39"/>
      <c r="F745" s="39"/>
      <c r="G745" s="39"/>
      <c r="H745" s="35"/>
      <c r="I745" s="88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</row>
    <row r="746" spans="1:24" ht="15.75" customHeight="1" x14ac:dyDescent="0.25">
      <c r="A746" s="39"/>
      <c r="B746" s="39"/>
      <c r="C746" s="39"/>
      <c r="D746" s="39"/>
      <c r="E746" s="39"/>
      <c r="F746" s="39"/>
      <c r="G746" s="39"/>
      <c r="H746" s="35"/>
      <c r="I746" s="88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</row>
    <row r="747" spans="1:24" ht="15.75" customHeight="1" x14ac:dyDescent="0.25">
      <c r="A747" s="39"/>
      <c r="B747" s="39"/>
      <c r="C747" s="39"/>
      <c r="D747" s="39"/>
      <c r="E747" s="39"/>
      <c r="F747" s="39"/>
      <c r="G747" s="39"/>
      <c r="H747" s="35"/>
      <c r="I747" s="88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</row>
    <row r="748" spans="1:24" ht="15.75" customHeight="1" x14ac:dyDescent="0.25">
      <c r="A748" s="39"/>
      <c r="B748" s="39"/>
      <c r="C748" s="39"/>
      <c r="D748" s="39"/>
      <c r="E748" s="39"/>
      <c r="F748" s="39"/>
      <c r="G748" s="39"/>
      <c r="H748" s="35"/>
      <c r="I748" s="88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</row>
    <row r="749" spans="1:24" ht="15.75" customHeight="1" x14ac:dyDescent="0.25">
      <c r="A749" s="39"/>
      <c r="B749" s="39"/>
      <c r="C749" s="39"/>
      <c r="D749" s="39"/>
      <c r="E749" s="39"/>
      <c r="F749" s="39"/>
      <c r="G749" s="39"/>
      <c r="H749" s="35"/>
      <c r="I749" s="88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</row>
    <row r="750" spans="1:24" ht="15.75" customHeight="1" x14ac:dyDescent="0.25">
      <c r="A750" s="39"/>
      <c r="B750" s="39"/>
      <c r="C750" s="39"/>
      <c r="D750" s="39"/>
      <c r="E750" s="39"/>
      <c r="F750" s="39"/>
      <c r="G750" s="39"/>
      <c r="H750" s="35"/>
      <c r="I750" s="88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</row>
    <row r="751" spans="1:24" ht="15.75" customHeight="1" x14ac:dyDescent="0.25">
      <c r="A751" s="39"/>
      <c r="B751" s="39"/>
      <c r="C751" s="39"/>
      <c r="D751" s="39"/>
      <c r="E751" s="39"/>
      <c r="F751" s="39"/>
      <c r="G751" s="39"/>
      <c r="H751" s="35"/>
      <c r="I751" s="88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</row>
    <row r="752" spans="1:24" ht="15.75" customHeight="1" x14ac:dyDescent="0.25">
      <c r="A752" s="39"/>
      <c r="B752" s="39"/>
      <c r="C752" s="39"/>
      <c r="D752" s="39"/>
      <c r="E752" s="39"/>
      <c r="F752" s="39"/>
      <c r="G752" s="39"/>
      <c r="H752" s="35"/>
      <c r="I752" s="88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</row>
    <row r="753" spans="1:24" ht="15.75" customHeight="1" x14ac:dyDescent="0.25">
      <c r="A753" s="39"/>
      <c r="B753" s="39"/>
      <c r="C753" s="39"/>
      <c r="D753" s="39"/>
      <c r="E753" s="39"/>
      <c r="F753" s="39"/>
      <c r="G753" s="39"/>
      <c r="H753" s="35"/>
      <c r="I753" s="88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</row>
    <row r="754" spans="1:24" ht="15.75" customHeight="1" x14ac:dyDescent="0.25">
      <c r="A754" s="39"/>
      <c r="B754" s="39"/>
      <c r="C754" s="39"/>
      <c r="D754" s="39"/>
      <c r="E754" s="39"/>
      <c r="F754" s="39"/>
      <c r="G754" s="39"/>
      <c r="H754" s="35"/>
      <c r="I754" s="88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</row>
    <row r="755" spans="1:24" ht="15.75" customHeight="1" x14ac:dyDescent="0.25">
      <c r="A755" s="39"/>
      <c r="B755" s="39"/>
      <c r="C755" s="39"/>
      <c r="D755" s="39"/>
      <c r="E755" s="39"/>
      <c r="F755" s="39"/>
      <c r="G755" s="39"/>
      <c r="H755" s="35"/>
      <c r="I755" s="88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</row>
    <row r="756" spans="1:24" ht="15.75" customHeight="1" x14ac:dyDescent="0.25">
      <c r="A756" s="39"/>
      <c r="B756" s="39"/>
      <c r="C756" s="39"/>
      <c r="D756" s="39"/>
      <c r="E756" s="39"/>
      <c r="F756" s="39"/>
      <c r="G756" s="39"/>
      <c r="H756" s="35"/>
      <c r="I756" s="88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</row>
    <row r="757" spans="1:24" ht="15.75" customHeight="1" x14ac:dyDescent="0.25">
      <c r="A757" s="39"/>
      <c r="B757" s="39"/>
      <c r="C757" s="39"/>
      <c r="D757" s="39"/>
      <c r="E757" s="39"/>
      <c r="F757" s="39"/>
      <c r="G757" s="39"/>
      <c r="H757" s="35"/>
      <c r="I757" s="88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</row>
    <row r="758" spans="1:24" ht="15.75" customHeight="1" x14ac:dyDescent="0.25">
      <c r="A758" s="39"/>
      <c r="B758" s="39"/>
      <c r="C758" s="39"/>
      <c r="D758" s="39"/>
      <c r="E758" s="39"/>
      <c r="F758" s="39"/>
      <c r="G758" s="39"/>
      <c r="H758" s="35"/>
      <c r="I758" s="88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</row>
    <row r="759" spans="1:24" ht="15.75" customHeight="1" x14ac:dyDescent="0.25">
      <c r="A759" s="39"/>
      <c r="B759" s="39"/>
      <c r="C759" s="39"/>
      <c r="D759" s="39"/>
      <c r="E759" s="39"/>
      <c r="F759" s="39"/>
      <c r="G759" s="39"/>
      <c r="H759" s="35"/>
      <c r="I759" s="88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</row>
    <row r="760" spans="1:24" ht="15.75" customHeight="1" x14ac:dyDescent="0.25">
      <c r="A760" s="39"/>
      <c r="B760" s="39"/>
      <c r="C760" s="39"/>
      <c r="D760" s="39"/>
      <c r="E760" s="39"/>
      <c r="F760" s="39"/>
      <c r="G760" s="39"/>
      <c r="H760" s="35"/>
      <c r="I760" s="88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</row>
    <row r="761" spans="1:24" ht="15.75" customHeight="1" x14ac:dyDescent="0.25">
      <c r="A761" s="39"/>
      <c r="B761" s="39"/>
      <c r="C761" s="39"/>
      <c r="D761" s="39"/>
      <c r="E761" s="39"/>
      <c r="F761" s="39"/>
      <c r="G761" s="39"/>
      <c r="H761" s="35"/>
      <c r="I761" s="88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</row>
    <row r="762" spans="1:24" ht="15.75" customHeight="1" x14ac:dyDescent="0.25">
      <c r="A762" s="39"/>
      <c r="B762" s="39"/>
      <c r="C762" s="39"/>
      <c r="D762" s="39"/>
      <c r="E762" s="39"/>
      <c r="F762" s="39"/>
      <c r="G762" s="39"/>
      <c r="H762" s="35"/>
      <c r="I762" s="88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</row>
    <row r="763" spans="1:24" ht="15.75" customHeight="1" x14ac:dyDescent="0.25">
      <c r="A763" s="39"/>
      <c r="B763" s="39"/>
      <c r="C763" s="39"/>
      <c r="D763" s="39"/>
      <c r="E763" s="39"/>
      <c r="F763" s="39"/>
      <c r="G763" s="39"/>
      <c r="H763" s="35"/>
      <c r="I763" s="88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</row>
    <row r="764" spans="1:24" ht="15.75" customHeight="1" x14ac:dyDescent="0.25">
      <c r="A764" s="39"/>
      <c r="B764" s="39"/>
      <c r="C764" s="39"/>
      <c r="D764" s="39"/>
      <c r="E764" s="39"/>
      <c r="F764" s="39"/>
      <c r="G764" s="39"/>
      <c r="H764" s="35"/>
      <c r="I764" s="88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</row>
    <row r="765" spans="1:24" ht="15.75" customHeight="1" x14ac:dyDescent="0.25">
      <c r="A765" s="39"/>
      <c r="B765" s="39"/>
      <c r="C765" s="39"/>
      <c r="D765" s="39"/>
      <c r="E765" s="39"/>
      <c r="F765" s="39"/>
      <c r="G765" s="39"/>
      <c r="H765" s="35"/>
      <c r="I765" s="88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</row>
    <row r="766" spans="1:24" ht="15.75" customHeight="1" x14ac:dyDescent="0.25">
      <c r="A766" s="39"/>
      <c r="B766" s="39"/>
      <c r="C766" s="39"/>
      <c r="D766" s="39"/>
      <c r="E766" s="39"/>
      <c r="F766" s="39"/>
      <c r="G766" s="39"/>
      <c r="H766" s="35"/>
      <c r="I766" s="88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</row>
    <row r="767" spans="1:24" ht="15.75" customHeight="1" x14ac:dyDescent="0.25">
      <c r="A767" s="39"/>
      <c r="B767" s="39"/>
      <c r="C767" s="39"/>
      <c r="D767" s="39"/>
      <c r="E767" s="39"/>
      <c r="F767" s="39"/>
      <c r="G767" s="39"/>
      <c r="H767" s="35"/>
      <c r="I767" s="88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</row>
    <row r="768" spans="1:24" ht="15.75" customHeight="1" x14ac:dyDescent="0.25">
      <c r="A768" s="39"/>
      <c r="B768" s="39"/>
      <c r="C768" s="39"/>
      <c r="D768" s="39"/>
      <c r="E768" s="39"/>
      <c r="F768" s="39"/>
      <c r="G768" s="39"/>
      <c r="H768" s="35"/>
      <c r="I768" s="88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</row>
    <row r="769" spans="1:24" ht="15.75" customHeight="1" x14ac:dyDescent="0.25">
      <c r="A769" s="39"/>
      <c r="B769" s="39"/>
      <c r="C769" s="39"/>
      <c r="D769" s="39"/>
      <c r="E769" s="39"/>
      <c r="F769" s="39"/>
      <c r="G769" s="39"/>
      <c r="H769" s="35"/>
      <c r="I769" s="88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</row>
    <row r="770" spans="1:24" ht="15.75" customHeight="1" x14ac:dyDescent="0.25">
      <c r="A770" s="39"/>
      <c r="B770" s="39"/>
      <c r="C770" s="39"/>
      <c r="D770" s="39"/>
      <c r="E770" s="39"/>
      <c r="F770" s="39"/>
      <c r="G770" s="39"/>
      <c r="H770" s="35"/>
      <c r="I770" s="88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</row>
    <row r="771" spans="1:24" ht="15.75" customHeight="1" x14ac:dyDescent="0.25">
      <c r="A771" s="39"/>
      <c r="B771" s="39"/>
      <c r="C771" s="39"/>
      <c r="D771" s="39"/>
      <c r="E771" s="39"/>
      <c r="F771" s="39"/>
      <c r="G771" s="39"/>
      <c r="H771" s="35"/>
      <c r="I771" s="88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</row>
    <row r="772" spans="1:24" ht="15.75" customHeight="1" x14ac:dyDescent="0.25">
      <c r="A772" s="39"/>
      <c r="B772" s="39"/>
      <c r="C772" s="39"/>
      <c r="D772" s="39"/>
      <c r="E772" s="39"/>
      <c r="F772" s="39"/>
      <c r="G772" s="39"/>
      <c r="H772" s="35"/>
      <c r="I772" s="88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</row>
    <row r="773" spans="1:24" ht="15.75" customHeight="1" x14ac:dyDescent="0.25">
      <c r="A773" s="39"/>
      <c r="B773" s="39"/>
      <c r="C773" s="39"/>
      <c r="D773" s="39"/>
      <c r="E773" s="39"/>
      <c r="F773" s="39"/>
      <c r="G773" s="39"/>
      <c r="H773" s="35"/>
      <c r="I773" s="88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</row>
    <row r="774" spans="1:24" ht="15.75" customHeight="1" x14ac:dyDescent="0.25">
      <c r="A774" s="39"/>
      <c r="B774" s="39"/>
      <c r="C774" s="39"/>
      <c r="D774" s="39"/>
      <c r="E774" s="39"/>
      <c r="F774" s="39"/>
      <c r="G774" s="39"/>
      <c r="H774" s="35"/>
      <c r="I774" s="88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</row>
    <row r="775" spans="1:24" ht="15.75" customHeight="1" x14ac:dyDescent="0.25">
      <c r="A775" s="39"/>
      <c r="B775" s="39"/>
      <c r="C775" s="39"/>
      <c r="D775" s="39"/>
      <c r="E775" s="39"/>
      <c r="F775" s="39"/>
      <c r="G775" s="39"/>
      <c r="H775" s="35"/>
      <c r="I775" s="88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</row>
    <row r="776" spans="1:24" ht="15.75" customHeight="1" x14ac:dyDescent="0.25">
      <c r="A776" s="39"/>
      <c r="B776" s="39"/>
      <c r="C776" s="39"/>
      <c r="D776" s="39"/>
      <c r="E776" s="39"/>
      <c r="F776" s="39"/>
      <c r="G776" s="39"/>
      <c r="H776" s="35"/>
      <c r="I776" s="88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</row>
    <row r="777" spans="1:24" ht="15.75" customHeight="1" x14ac:dyDescent="0.25">
      <c r="A777" s="39"/>
      <c r="B777" s="39"/>
      <c r="C777" s="39"/>
      <c r="D777" s="39"/>
      <c r="E777" s="39"/>
      <c r="F777" s="39"/>
      <c r="G777" s="39"/>
      <c r="H777" s="35"/>
      <c r="I777" s="88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</row>
    <row r="778" spans="1:24" ht="15.75" customHeight="1" x14ac:dyDescent="0.25">
      <c r="A778" s="39"/>
      <c r="B778" s="39"/>
      <c r="C778" s="39"/>
      <c r="D778" s="39"/>
      <c r="E778" s="39"/>
      <c r="F778" s="39"/>
      <c r="G778" s="39"/>
      <c r="H778" s="35"/>
      <c r="I778" s="88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</row>
    <row r="779" spans="1:24" ht="15.75" customHeight="1" x14ac:dyDescent="0.25">
      <c r="A779" s="39"/>
      <c r="B779" s="39"/>
      <c r="C779" s="39"/>
      <c r="D779" s="39"/>
      <c r="E779" s="39"/>
      <c r="F779" s="39"/>
      <c r="G779" s="39"/>
      <c r="H779" s="35"/>
      <c r="I779" s="88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</row>
    <row r="780" spans="1:24" ht="15.75" customHeight="1" x14ac:dyDescent="0.25">
      <c r="A780" s="39"/>
      <c r="B780" s="39"/>
      <c r="C780" s="39"/>
      <c r="D780" s="39"/>
      <c r="E780" s="39"/>
      <c r="F780" s="39"/>
      <c r="G780" s="39"/>
      <c r="H780" s="35"/>
      <c r="I780" s="88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</row>
    <row r="781" spans="1:24" ht="15.75" customHeight="1" x14ac:dyDescent="0.25">
      <c r="A781" s="39"/>
      <c r="B781" s="39"/>
      <c r="C781" s="39"/>
      <c r="D781" s="39"/>
      <c r="E781" s="39"/>
      <c r="F781" s="39"/>
      <c r="G781" s="39"/>
      <c r="H781" s="35"/>
      <c r="I781" s="88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</row>
    <row r="782" spans="1:24" ht="15.75" customHeight="1" x14ac:dyDescent="0.25">
      <c r="A782" s="39"/>
      <c r="B782" s="39"/>
      <c r="C782" s="39"/>
      <c r="D782" s="39"/>
      <c r="E782" s="39"/>
      <c r="F782" s="39"/>
      <c r="G782" s="39"/>
      <c r="H782" s="35"/>
      <c r="I782" s="88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</row>
    <row r="783" spans="1:24" ht="15.75" customHeight="1" x14ac:dyDescent="0.25">
      <c r="A783" s="39"/>
      <c r="B783" s="39"/>
      <c r="C783" s="39"/>
      <c r="D783" s="39"/>
      <c r="E783" s="39"/>
      <c r="F783" s="39"/>
      <c r="G783" s="39"/>
      <c r="H783" s="35"/>
      <c r="I783" s="88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</row>
    <row r="784" spans="1:24" ht="15.75" customHeight="1" x14ac:dyDescent="0.25">
      <c r="A784" s="39"/>
      <c r="B784" s="39"/>
      <c r="C784" s="39"/>
      <c r="D784" s="39"/>
      <c r="E784" s="39"/>
      <c r="F784" s="39"/>
      <c r="G784" s="39"/>
      <c r="H784" s="35"/>
      <c r="I784" s="88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</row>
    <row r="785" spans="1:24" ht="15.75" customHeight="1" x14ac:dyDescent="0.25">
      <c r="A785" s="39"/>
      <c r="B785" s="39"/>
      <c r="C785" s="39"/>
      <c r="D785" s="39"/>
      <c r="E785" s="39"/>
      <c r="F785" s="39"/>
      <c r="G785" s="39"/>
      <c r="H785" s="35"/>
      <c r="I785" s="88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</row>
    <row r="786" spans="1:24" ht="15.75" customHeight="1" x14ac:dyDescent="0.25">
      <c r="A786" s="39"/>
      <c r="B786" s="39"/>
      <c r="C786" s="39"/>
      <c r="D786" s="39"/>
      <c r="E786" s="39"/>
      <c r="F786" s="39"/>
      <c r="G786" s="39"/>
      <c r="H786" s="35"/>
      <c r="I786" s="88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</row>
    <row r="787" spans="1:24" ht="15.75" customHeight="1" x14ac:dyDescent="0.25">
      <c r="A787" s="39"/>
      <c r="B787" s="39"/>
      <c r="C787" s="39"/>
      <c r="D787" s="39"/>
      <c r="E787" s="39"/>
      <c r="F787" s="39"/>
      <c r="G787" s="39"/>
      <c r="H787" s="35"/>
      <c r="I787" s="88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</row>
    <row r="788" spans="1:24" ht="15.75" customHeight="1" x14ac:dyDescent="0.25">
      <c r="A788" s="39"/>
      <c r="B788" s="39"/>
      <c r="C788" s="39"/>
      <c r="D788" s="39"/>
      <c r="E788" s="39"/>
      <c r="F788" s="39"/>
      <c r="G788" s="39"/>
      <c r="H788" s="35"/>
      <c r="I788" s="88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</row>
    <row r="789" spans="1:24" ht="15.75" customHeight="1" x14ac:dyDescent="0.25">
      <c r="A789" s="39"/>
      <c r="B789" s="39"/>
      <c r="C789" s="39"/>
      <c r="D789" s="39"/>
      <c r="E789" s="39"/>
      <c r="F789" s="39"/>
      <c r="G789" s="39"/>
      <c r="H789" s="35"/>
      <c r="I789" s="88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</row>
    <row r="790" spans="1:24" ht="15.75" customHeight="1" x14ac:dyDescent="0.25">
      <c r="A790" s="39"/>
      <c r="B790" s="39"/>
      <c r="C790" s="39"/>
      <c r="D790" s="39"/>
      <c r="E790" s="39"/>
      <c r="F790" s="39"/>
      <c r="G790" s="39"/>
      <c r="H790" s="35"/>
      <c r="I790" s="88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</row>
    <row r="791" spans="1:24" ht="15.75" customHeight="1" x14ac:dyDescent="0.25">
      <c r="A791" s="39"/>
      <c r="B791" s="39"/>
      <c r="C791" s="39"/>
      <c r="D791" s="39"/>
      <c r="E791" s="39"/>
      <c r="F791" s="39"/>
      <c r="G791" s="39"/>
      <c r="H791" s="35"/>
      <c r="I791" s="88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</row>
    <row r="792" spans="1:24" ht="15.75" customHeight="1" x14ac:dyDescent="0.25">
      <c r="A792" s="39"/>
      <c r="B792" s="39"/>
      <c r="C792" s="39"/>
      <c r="D792" s="39"/>
      <c r="E792" s="39"/>
      <c r="F792" s="39"/>
      <c r="G792" s="39"/>
      <c r="H792" s="35"/>
      <c r="I792" s="88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</row>
    <row r="793" spans="1:24" ht="15.75" customHeight="1" x14ac:dyDescent="0.25">
      <c r="A793" s="39"/>
      <c r="B793" s="39"/>
      <c r="C793" s="39"/>
      <c r="D793" s="39"/>
      <c r="E793" s="39"/>
      <c r="F793" s="39"/>
      <c r="G793" s="39"/>
      <c r="H793" s="35"/>
      <c r="I793" s="88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</row>
    <row r="794" spans="1:24" ht="15.75" customHeight="1" x14ac:dyDescent="0.25">
      <c r="A794" s="39"/>
      <c r="B794" s="39"/>
      <c r="C794" s="39"/>
      <c r="D794" s="39"/>
      <c r="E794" s="39"/>
      <c r="F794" s="39"/>
      <c r="G794" s="39"/>
      <c r="H794" s="35"/>
      <c r="I794" s="88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</row>
    <row r="795" spans="1:24" ht="15.75" customHeight="1" x14ac:dyDescent="0.25">
      <c r="A795" s="39"/>
      <c r="B795" s="39"/>
      <c r="C795" s="39"/>
      <c r="D795" s="39"/>
      <c r="E795" s="39"/>
      <c r="F795" s="39"/>
      <c r="G795" s="39"/>
      <c r="H795" s="35"/>
      <c r="I795" s="88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</row>
    <row r="796" spans="1:24" ht="15.75" customHeight="1" x14ac:dyDescent="0.25">
      <c r="A796" s="39"/>
      <c r="B796" s="39"/>
      <c r="C796" s="39"/>
      <c r="D796" s="39"/>
      <c r="E796" s="39"/>
      <c r="F796" s="39"/>
      <c r="G796" s="39"/>
      <c r="H796" s="35"/>
      <c r="I796" s="88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</row>
    <row r="797" spans="1:24" ht="15.75" customHeight="1" x14ac:dyDescent="0.25">
      <c r="A797" s="39"/>
      <c r="B797" s="39"/>
      <c r="C797" s="39"/>
      <c r="D797" s="39"/>
      <c r="E797" s="39"/>
      <c r="F797" s="39"/>
      <c r="G797" s="39"/>
      <c r="H797" s="35"/>
      <c r="I797" s="88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</row>
    <row r="798" spans="1:24" ht="15.75" customHeight="1" x14ac:dyDescent="0.25">
      <c r="A798" s="39"/>
      <c r="B798" s="39"/>
      <c r="C798" s="39"/>
      <c r="D798" s="39"/>
      <c r="E798" s="39"/>
      <c r="F798" s="39"/>
      <c r="G798" s="39"/>
      <c r="H798" s="35"/>
      <c r="I798" s="88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</row>
    <row r="799" spans="1:24" ht="15.75" customHeight="1" x14ac:dyDescent="0.25">
      <c r="A799" s="39"/>
      <c r="B799" s="39"/>
      <c r="C799" s="39"/>
      <c r="D799" s="39"/>
      <c r="E799" s="39"/>
      <c r="F799" s="39"/>
      <c r="G799" s="39"/>
      <c r="H799" s="35"/>
      <c r="I799" s="88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</row>
    <row r="800" spans="1:24" ht="15.75" customHeight="1" x14ac:dyDescent="0.25">
      <c r="A800" s="39"/>
      <c r="B800" s="39"/>
      <c r="C800" s="39"/>
      <c r="D800" s="39"/>
      <c r="E800" s="39"/>
      <c r="F800" s="39"/>
      <c r="G800" s="39"/>
      <c r="H800" s="35"/>
      <c r="I800" s="88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</row>
    <row r="801" spans="1:24" ht="15.75" customHeight="1" x14ac:dyDescent="0.25">
      <c r="A801" s="39"/>
      <c r="B801" s="39"/>
      <c r="C801" s="39"/>
      <c r="D801" s="39"/>
      <c r="E801" s="39"/>
      <c r="F801" s="39"/>
      <c r="G801" s="39"/>
      <c r="H801" s="35"/>
      <c r="I801" s="88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</row>
    <row r="802" spans="1:24" ht="15.75" customHeight="1" x14ac:dyDescent="0.25">
      <c r="A802" s="39"/>
      <c r="B802" s="39"/>
      <c r="C802" s="39"/>
      <c r="D802" s="39"/>
      <c r="E802" s="39"/>
      <c r="F802" s="39"/>
      <c r="G802" s="39"/>
      <c r="H802" s="35"/>
      <c r="I802" s="88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</row>
    <row r="803" spans="1:24" ht="15.75" customHeight="1" x14ac:dyDescent="0.25">
      <c r="A803" s="39"/>
      <c r="B803" s="39"/>
      <c r="C803" s="39"/>
      <c r="D803" s="39"/>
      <c r="E803" s="39"/>
      <c r="F803" s="39"/>
      <c r="G803" s="39"/>
      <c r="H803" s="35"/>
      <c r="I803" s="88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</row>
    <row r="804" spans="1:24" ht="15.75" customHeight="1" x14ac:dyDescent="0.25">
      <c r="A804" s="39"/>
      <c r="B804" s="39"/>
      <c r="C804" s="39"/>
      <c r="D804" s="39"/>
      <c r="E804" s="39"/>
      <c r="F804" s="39"/>
      <c r="G804" s="39"/>
      <c r="H804" s="35"/>
      <c r="I804" s="88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</row>
    <row r="805" spans="1:24" ht="15.75" customHeight="1" x14ac:dyDescent="0.25">
      <c r="A805" s="39"/>
      <c r="B805" s="39"/>
      <c r="C805" s="39"/>
      <c r="D805" s="39"/>
      <c r="E805" s="39"/>
      <c r="F805" s="39"/>
      <c r="G805" s="39"/>
      <c r="H805" s="35"/>
      <c r="I805" s="88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</row>
    <row r="806" spans="1:24" ht="15.75" customHeight="1" x14ac:dyDescent="0.25">
      <c r="A806" s="39"/>
      <c r="B806" s="39"/>
      <c r="C806" s="39"/>
      <c r="D806" s="39"/>
      <c r="E806" s="39"/>
      <c r="F806" s="39"/>
      <c r="G806" s="39"/>
      <c r="H806" s="35"/>
      <c r="I806" s="88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</row>
    <row r="807" spans="1:24" ht="15.75" customHeight="1" x14ac:dyDescent="0.25">
      <c r="A807" s="39"/>
      <c r="B807" s="39"/>
      <c r="C807" s="39"/>
      <c r="D807" s="39"/>
      <c r="E807" s="39"/>
      <c r="F807" s="39"/>
      <c r="G807" s="39"/>
      <c r="H807" s="35"/>
      <c r="I807" s="88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</row>
    <row r="808" spans="1:24" ht="15.75" customHeight="1" x14ac:dyDescent="0.25">
      <c r="A808" s="39"/>
      <c r="B808" s="39"/>
      <c r="C808" s="39"/>
      <c r="D808" s="39"/>
      <c r="E808" s="39"/>
      <c r="F808" s="39"/>
      <c r="G808" s="39"/>
      <c r="H808" s="35"/>
      <c r="I808" s="88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</row>
    <row r="809" spans="1:24" ht="15.75" customHeight="1" x14ac:dyDescent="0.25">
      <c r="A809" s="39"/>
      <c r="B809" s="39"/>
      <c r="C809" s="39"/>
      <c r="D809" s="39"/>
      <c r="E809" s="39"/>
      <c r="F809" s="39"/>
      <c r="G809" s="39"/>
      <c r="H809" s="35"/>
      <c r="I809" s="88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</row>
    <row r="810" spans="1:24" ht="15.75" customHeight="1" x14ac:dyDescent="0.25">
      <c r="A810" s="39"/>
      <c r="B810" s="39"/>
      <c r="C810" s="39"/>
      <c r="D810" s="39"/>
      <c r="E810" s="39"/>
      <c r="F810" s="39"/>
      <c r="G810" s="39"/>
      <c r="H810" s="35"/>
      <c r="I810" s="88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</row>
    <row r="811" spans="1:24" ht="15.75" customHeight="1" x14ac:dyDescent="0.25">
      <c r="A811" s="39"/>
      <c r="B811" s="39"/>
      <c r="C811" s="39"/>
      <c r="D811" s="39"/>
      <c r="E811" s="39"/>
      <c r="F811" s="39"/>
      <c r="G811" s="39"/>
      <c r="H811" s="35"/>
      <c r="I811" s="88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</row>
    <row r="812" spans="1:24" ht="15.75" customHeight="1" x14ac:dyDescent="0.25">
      <c r="A812" s="39"/>
      <c r="B812" s="39"/>
      <c r="C812" s="39"/>
      <c r="D812" s="39"/>
      <c r="E812" s="39"/>
      <c r="F812" s="39"/>
      <c r="G812" s="39"/>
      <c r="H812" s="35"/>
      <c r="I812" s="88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</row>
    <row r="813" spans="1:24" ht="15.75" customHeight="1" x14ac:dyDescent="0.25">
      <c r="A813" s="39"/>
      <c r="B813" s="39"/>
      <c r="C813" s="39"/>
      <c r="D813" s="39"/>
      <c r="E813" s="39"/>
      <c r="F813" s="39"/>
      <c r="G813" s="39"/>
      <c r="H813" s="35"/>
      <c r="I813" s="88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</row>
    <row r="814" spans="1:24" ht="15.75" customHeight="1" x14ac:dyDescent="0.25">
      <c r="A814" s="39"/>
      <c r="B814" s="39"/>
      <c r="C814" s="39"/>
      <c r="D814" s="39"/>
      <c r="E814" s="39"/>
      <c r="F814" s="39"/>
      <c r="G814" s="39"/>
      <c r="H814" s="35"/>
      <c r="I814" s="88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</row>
    <row r="815" spans="1:24" ht="15.75" customHeight="1" x14ac:dyDescent="0.25">
      <c r="A815" s="39"/>
      <c r="B815" s="39"/>
      <c r="C815" s="39"/>
      <c r="D815" s="39"/>
      <c r="E815" s="39"/>
      <c r="F815" s="39"/>
      <c r="G815" s="39"/>
      <c r="H815" s="35"/>
      <c r="I815" s="88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</row>
    <row r="816" spans="1:24" ht="15.75" customHeight="1" x14ac:dyDescent="0.25">
      <c r="A816" s="39"/>
      <c r="B816" s="39"/>
      <c r="C816" s="39"/>
      <c r="D816" s="39"/>
      <c r="E816" s="39"/>
      <c r="F816" s="39"/>
      <c r="G816" s="39"/>
      <c r="H816" s="35"/>
      <c r="I816" s="88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</row>
    <row r="817" spans="1:24" ht="15.75" customHeight="1" x14ac:dyDescent="0.25">
      <c r="A817" s="39"/>
      <c r="B817" s="39"/>
      <c r="C817" s="39"/>
      <c r="D817" s="39"/>
      <c r="E817" s="39"/>
      <c r="F817" s="39"/>
      <c r="G817" s="39"/>
      <c r="H817" s="35"/>
      <c r="I817" s="88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</row>
    <row r="818" spans="1:24" ht="15.75" customHeight="1" x14ac:dyDescent="0.25">
      <c r="A818" s="39"/>
      <c r="B818" s="39"/>
      <c r="C818" s="39"/>
      <c r="D818" s="39"/>
      <c r="E818" s="39"/>
      <c r="F818" s="39"/>
      <c r="G818" s="39"/>
      <c r="H818" s="35"/>
      <c r="I818" s="88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</row>
    <row r="819" spans="1:24" ht="15.75" customHeight="1" x14ac:dyDescent="0.25">
      <c r="A819" s="39"/>
      <c r="B819" s="39"/>
      <c r="C819" s="39"/>
      <c r="D819" s="39"/>
      <c r="E819" s="39"/>
      <c r="F819" s="39"/>
      <c r="G819" s="39"/>
      <c r="H819" s="35"/>
      <c r="I819" s="88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</row>
    <row r="820" spans="1:24" ht="15.75" customHeight="1" x14ac:dyDescent="0.25">
      <c r="A820" s="39"/>
      <c r="B820" s="39"/>
      <c r="C820" s="39"/>
      <c r="D820" s="39"/>
      <c r="E820" s="39"/>
      <c r="F820" s="39"/>
      <c r="G820" s="39"/>
      <c r="H820" s="35"/>
      <c r="I820" s="88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</row>
    <row r="821" spans="1:24" ht="15.75" customHeight="1" x14ac:dyDescent="0.25">
      <c r="A821" s="39"/>
      <c r="B821" s="39"/>
      <c r="C821" s="39"/>
      <c r="D821" s="39"/>
      <c r="E821" s="39"/>
      <c r="F821" s="39"/>
      <c r="G821" s="39"/>
      <c r="H821" s="35"/>
      <c r="I821" s="88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</row>
    <row r="822" spans="1:24" ht="15.75" customHeight="1" x14ac:dyDescent="0.25">
      <c r="A822" s="39"/>
      <c r="B822" s="39"/>
      <c r="C822" s="39"/>
      <c r="D822" s="39"/>
      <c r="E822" s="39"/>
      <c r="F822" s="39"/>
      <c r="G822" s="39"/>
      <c r="H822" s="35"/>
      <c r="I822" s="88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</row>
    <row r="823" spans="1:24" ht="15.75" customHeight="1" x14ac:dyDescent="0.25">
      <c r="A823" s="39"/>
      <c r="B823" s="39"/>
      <c r="C823" s="39"/>
      <c r="D823" s="39"/>
      <c r="E823" s="39"/>
      <c r="F823" s="39"/>
      <c r="G823" s="39"/>
      <c r="H823" s="35"/>
      <c r="I823" s="88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</row>
    <row r="824" spans="1:24" ht="15.75" customHeight="1" x14ac:dyDescent="0.25">
      <c r="A824" s="39"/>
      <c r="B824" s="39"/>
      <c r="C824" s="39"/>
      <c r="D824" s="39"/>
      <c r="E824" s="39"/>
      <c r="F824" s="39"/>
      <c r="G824" s="39"/>
      <c r="H824" s="35"/>
      <c r="I824" s="88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</row>
    <row r="825" spans="1:24" ht="15.75" customHeight="1" x14ac:dyDescent="0.25">
      <c r="A825" s="39"/>
      <c r="B825" s="39"/>
      <c r="C825" s="39"/>
      <c r="D825" s="39"/>
      <c r="E825" s="39"/>
      <c r="F825" s="39"/>
      <c r="G825" s="39"/>
      <c r="H825" s="35"/>
      <c r="I825" s="88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</row>
    <row r="826" spans="1:24" ht="15.75" customHeight="1" x14ac:dyDescent="0.25">
      <c r="A826" s="39"/>
      <c r="B826" s="39"/>
      <c r="C826" s="39"/>
      <c r="D826" s="39"/>
      <c r="E826" s="39"/>
      <c r="F826" s="39"/>
      <c r="G826" s="39"/>
      <c r="H826" s="35"/>
      <c r="I826" s="88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</row>
    <row r="827" spans="1:24" ht="15.75" customHeight="1" x14ac:dyDescent="0.25">
      <c r="A827" s="39"/>
      <c r="B827" s="39"/>
      <c r="C827" s="39"/>
      <c r="D827" s="39"/>
      <c r="E827" s="39"/>
      <c r="F827" s="39"/>
      <c r="G827" s="39"/>
      <c r="H827" s="35"/>
      <c r="I827" s="88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</row>
    <row r="828" spans="1:24" ht="15.75" customHeight="1" x14ac:dyDescent="0.25">
      <c r="A828" s="39"/>
      <c r="B828" s="39"/>
      <c r="C828" s="39"/>
      <c r="D828" s="39"/>
      <c r="E828" s="39"/>
      <c r="F828" s="39"/>
      <c r="G828" s="39"/>
      <c r="H828" s="35"/>
      <c r="I828" s="88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</row>
    <row r="829" spans="1:24" ht="15.75" customHeight="1" x14ac:dyDescent="0.25">
      <c r="A829" s="39"/>
      <c r="B829" s="39"/>
      <c r="C829" s="39"/>
      <c r="D829" s="39"/>
      <c r="E829" s="39"/>
      <c r="F829" s="39"/>
      <c r="G829" s="39"/>
      <c r="H829" s="35"/>
      <c r="I829" s="88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</row>
    <row r="830" spans="1:24" ht="15.75" customHeight="1" x14ac:dyDescent="0.25">
      <c r="A830" s="39"/>
      <c r="B830" s="39"/>
      <c r="C830" s="39"/>
      <c r="D830" s="39"/>
      <c r="E830" s="39"/>
      <c r="F830" s="39"/>
      <c r="G830" s="39"/>
      <c r="H830" s="35"/>
      <c r="I830" s="88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</row>
    <row r="831" spans="1:24" ht="15.75" customHeight="1" x14ac:dyDescent="0.25">
      <c r="A831" s="39"/>
      <c r="B831" s="39"/>
      <c r="C831" s="39"/>
      <c r="D831" s="39"/>
      <c r="E831" s="39"/>
      <c r="F831" s="39"/>
      <c r="G831" s="39"/>
      <c r="H831" s="35"/>
      <c r="I831" s="88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</row>
    <row r="832" spans="1:24" ht="15.75" customHeight="1" x14ac:dyDescent="0.25">
      <c r="A832" s="39"/>
      <c r="B832" s="39"/>
      <c r="C832" s="39"/>
      <c r="D832" s="39"/>
      <c r="E832" s="39"/>
      <c r="F832" s="39"/>
      <c r="G832" s="39"/>
      <c r="H832" s="35"/>
      <c r="I832" s="88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</row>
    <row r="833" spans="1:24" ht="15.75" customHeight="1" x14ac:dyDescent="0.25">
      <c r="A833" s="39"/>
      <c r="B833" s="39"/>
      <c r="C833" s="39"/>
      <c r="D833" s="39"/>
      <c r="E833" s="39"/>
      <c r="F833" s="39"/>
      <c r="G833" s="39"/>
      <c r="H833" s="35"/>
      <c r="I833" s="88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</row>
    <row r="834" spans="1:24" ht="15.75" customHeight="1" x14ac:dyDescent="0.25">
      <c r="A834" s="39"/>
      <c r="B834" s="39"/>
      <c r="C834" s="39"/>
      <c r="D834" s="39"/>
      <c r="E834" s="39"/>
      <c r="F834" s="39"/>
      <c r="G834" s="39"/>
      <c r="H834" s="35"/>
      <c r="I834" s="88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</row>
    <row r="835" spans="1:24" ht="15.75" customHeight="1" x14ac:dyDescent="0.25">
      <c r="A835" s="39"/>
      <c r="B835" s="39"/>
      <c r="C835" s="39"/>
      <c r="D835" s="39"/>
      <c r="E835" s="39"/>
      <c r="F835" s="39"/>
      <c r="G835" s="39"/>
      <c r="H835" s="35"/>
      <c r="I835" s="88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</row>
    <row r="836" spans="1:24" ht="15.75" customHeight="1" x14ac:dyDescent="0.25">
      <c r="A836" s="39"/>
      <c r="B836" s="39"/>
      <c r="C836" s="39"/>
      <c r="D836" s="39"/>
      <c r="E836" s="39"/>
      <c r="F836" s="39"/>
      <c r="G836" s="39"/>
      <c r="H836" s="35"/>
      <c r="I836" s="88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</row>
    <row r="837" spans="1:24" ht="15.75" customHeight="1" x14ac:dyDescent="0.25">
      <c r="A837" s="39"/>
      <c r="B837" s="39"/>
      <c r="C837" s="39"/>
      <c r="D837" s="39"/>
      <c r="E837" s="39"/>
      <c r="F837" s="39"/>
      <c r="G837" s="39"/>
      <c r="H837" s="35"/>
      <c r="I837" s="88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</row>
    <row r="838" spans="1:24" ht="15.75" customHeight="1" x14ac:dyDescent="0.25">
      <c r="A838" s="39"/>
      <c r="B838" s="39"/>
      <c r="C838" s="39"/>
      <c r="D838" s="39"/>
      <c r="E838" s="39"/>
      <c r="F838" s="39"/>
      <c r="G838" s="39"/>
      <c r="H838" s="35"/>
      <c r="I838" s="88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</row>
    <row r="839" spans="1:24" ht="15.75" customHeight="1" x14ac:dyDescent="0.25">
      <c r="A839" s="39"/>
      <c r="B839" s="39"/>
      <c r="C839" s="39"/>
      <c r="D839" s="39"/>
      <c r="E839" s="39"/>
      <c r="F839" s="39"/>
      <c r="G839" s="39"/>
      <c r="H839" s="35"/>
      <c r="I839" s="88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</row>
    <row r="840" spans="1:24" ht="15.75" customHeight="1" x14ac:dyDescent="0.25">
      <c r="A840" s="39"/>
      <c r="B840" s="39"/>
      <c r="C840" s="39"/>
      <c r="D840" s="39"/>
      <c r="E840" s="39"/>
      <c r="F840" s="39"/>
      <c r="G840" s="39"/>
      <c r="H840" s="35"/>
      <c r="I840" s="88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</row>
    <row r="841" spans="1:24" ht="15.75" customHeight="1" x14ac:dyDescent="0.25">
      <c r="A841" s="39"/>
      <c r="B841" s="39"/>
      <c r="C841" s="39"/>
      <c r="D841" s="39"/>
      <c r="E841" s="39"/>
      <c r="F841" s="39"/>
      <c r="G841" s="39"/>
      <c r="H841" s="35"/>
      <c r="I841" s="88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</row>
    <row r="842" spans="1:24" ht="15.75" customHeight="1" x14ac:dyDescent="0.25">
      <c r="A842" s="39"/>
      <c r="B842" s="39"/>
      <c r="C842" s="39"/>
      <c r="D842" s="39"/>
      <c r="E842" s="39"/>
      <c r="F842" s="39"/>
      <c r="G842" s="39"/>
      <c r="H842" s="35"/>
      <c r="I842" s="88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</row>
    <row r="843" spans="1:24" ht="15.75" customHeight="1" x14ac:dyDescent="0.25">
      <c r="A843" s="39"/>
      <c r="B843" s="39"/>
      <c r="C843" s="39"/>
      <c r="D843" s="39"/>
      <c r="E843" s="39"/>
      <c r="F843" s="39"/>
      <c r="G843" s="39"/>
      <c r="H843" s="35"/>
      <c r="I843" s="88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</row>
    <row r="844" spans="1:24" ht="15.75" customHeight="1" x14ac:dyDescent="0.25">
      <c r="A844" s="39"/>
      <c r="B844" s="39"/>
      <c r="C844" s="39"/>
      <c r="D844" s="39"/>
      <c r="E844" s="39"/>
      <c r="F844" s="39"/>
      <c r="G844" s="39"/>
      <c r="H844" s="35"/>
      <c r="I844" s="88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</row>
    <row r="845" spans="1:24" ht="15.75" customHeight="1" x14ac:dyDescent="0.25">
      <c r="A845" s="39"/>
      <c r="B845" s="39"/>
      <c r="C845" s="39"/>
      <c r="D845" s="39"/>
      <c r="E845" s="39"/>
      <c r="F845" s="39"/>
      <c r="G845" s="39"/>
      <c r="H845" s="35"/>
      <c r="I845" s="88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</row>
    <row r="846" spans="1:24" ht="15.75" customHeight="1" x14ac:dyDescent="0.25">
      <c r="A846" s="39"/>
      <c r="B846" s="39"/>
      <c r="C846" s="39"/>
      <c r="D846" s="39"/>
      <c r="E846" s="39"/>
      <c r="F846" s="39"/>
      <c r="G846" s="39"/>
      <c r="H846" s="35"/>
      <c r="I846" s="88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</row>
    <row r="847" spans="1:24" ht="15.75" customHeight="1" x14ac:dyDescent="0.25">
      <c r="A847" s="39"/>
      <c r="B847" s="39"/>
      <c r="C847" s="39"/>
      <c r="D847" s="39"/>
      <c r="E847" s="39"/>
      <c r="F847" s="39"/>
      <c r="G847" s="39"/>
      <c r="H847" s="35"/>
      <c r="I847" s="88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</row>
    <row r="848" spans="1:24" ht="15.75" customHeight="1" x14ac:dyDescent="0.25">
      <c r="A848" s="39"/>
      <c r="B848" s="39"/>
      <c r="C848" s="39"/>
      <c r="D848" s="39"/>
      <c r="E848" s="39"/>
      <c r="F848" s="39"/>
      <c r="G848" s="39"/>
      <c r="H848" s="35"/>
      <c r="I848" s="88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</row>
    <row r="849" spans="1:24" ht="15.75" customHeight="1" x14ac:dyDescent="0.25">
      <c r="A849" s="39"/>
      <c r="B849" s="39"/>
      <c r="C849" s="39"/>
      <c r="D849" s="39"/>
      <c r="E849" s="39"/>
      <c r="F849" s="39"/>
      <c r="G849" s="39"/>
      <c r="H849" s="35"/>
      <c r="I849" s="88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</row>
    <row r="850" spans="1:24" ht="15.75" customHeight="1" x14ac:dyDescent="0.25">
      <c r="A850" s="39"/>
      <c r="B850" s="39"/>
      <c r="C850" s="39"/>
      <c r="D850" s="39"/>
      <c r="E850" s="39"/>
      <c r="F850" s="39"/>
      <c r="G850" s="39"/>
      <c r="H850" s="35"/>
      <c r="I850" s="88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</row>
    <row r="851" spans="1:24" ht="15.75" customHeight="1" x14ac:dyDescent="0.25">
      <c r="A851" s="39"/>
      <c r="B851" s="39"/>
      <c r="C851" s="39"/>
      <c r="D851" s="39"/>
      <c r="E851" s="39"/>
      <c r="F851" s="39"/>
      <c r="G851" s="39"/>
      <c r="H851" s="35"/>
      <c r="I851" s="88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</row>
    <row r="852" spans="1:24" ht="15.75" customHeight="1" x14ac:dyDescent="0.25">
      <c r="A852" s="39"/>
      <c r="B852" s="39"/>
      <c r="C852" s="39"/>
      <c r="D852" s="39"/>
      <c r="E852" s="39"/>
      <c r="F852" s="39"/>
      <c r="G852" s="39"/>
      <c r="H852" s="35"/>
      <c r="I852" s="88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</row>
    <row r="853" spans="1:24" ht="15.75" customHeight="1" x14ac:dyDescent="0.25">
      <c r="A853" s="39"/>
      <c r="B853" s="39"/>
      <c r="C853" s="39"/>
      <c r="D853" s="39"/>
      <c r="E853" s="39"/>
      <c r="F853" s="39"/>
      <c r="G853" s="39"/>
      <c r="H853" s="35"/>
      <c r="I853" s="88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</row>
    <row r="854" spans="1:24" ht="15.75" customHeight="1" x14ac:dyDescent="0.25">
      <c r="A854" s="39"/>
      <c r="B854" s="39"/>
      <c r="C854" s="39"/>
      <c r="D854" s="39"/>
      <c r="E854" s="39"/>
      <c r="F854" s="39"/>
      <c r="G854" s="39"/>
      <c r="H854" s="35"/>
      <c r="I854" s="88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</row>
    <row r="855" spans="1:24" ht="15.75" customHeight="1" x14ac:dyDescent="0.25">
      <c r="A855" s="39"/>
      <c r="B855" s="39"/>
      <c r="C855" s="39"/>
      <c r="D855" s="39"/>
      <c r="E855" s="39"/>
      <c r="F855" s="39"/>
      <c r="G855" s="39"/>
      <c r="H855" s="35"/>
      <c r="I855" s="88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</row>
    <row r="856" spans="1:24" ht="15.75" customHeight="1" x14ac:dyDescent="0.25">
      <c r="A856" s="39"/>
      <c r="B856" s="39"/>
      <c r="C856" s="39"/>
      <c r="D856" s="39"/>
      <c r="E856" s="39"/>
      <c r="F856" s="39"/>
      <c r="G856" s="39"/>
      <c r="H856" s="35"/>
      <c r="I856" s="88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</row>
    <row r="857" spans="1:24" ht="15.75" customHeight="1" x14ac:dyDescent="0.25">
      <c r="A857" s="39"/>
      <c r="B857" s="39"/>
      <c r="C857" s="39"/>
      <c r="D857" s="39"/>
      <c r="E857" s="39"/>
      <c r="F857" s="39"/>
      <c r="G857" s="39"/>
      <c r="H857" s="35"/>
      <c r="I857" s="88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</row>
    <row r="858" spans="1:24" ht="15.75" customHeight="1" x14ac:dyDescent="0.25">
      <c r="A858" s="39"/>
      <c r="B858" s="39"/>
      <c r="C858" s="39"/>
      <c r="D858" s="39"/>
      <c r="E858" s="39"/>
      <c r="F858" s="39"/>
      <c r="G858" s="39"/>
      <c r="H858" s="35"/>
      <c r="I858" s="88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</row>
    <row r="859" spans="1:24" ht="15.75" customHeight="1" x14ac:dyDescent="0.25">
      <c r="A859" s="39"/>
      <c r="B859" s="39"/>
      <c r="C859" s="39"/>
      <c r="D859" s="39"/>
      <c r="E859" s="39"/>
      <c r="F859" s="39"/>
      <c r="G859" s="39"/>
      <c r="H859" s="35"/>
      <c r="I859" s="88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</row>
    <row r="860" spans="1:24" ht="15.75" customHeight="1" x14ac:dyDescent="0.25">
      <c r="A860" s="39"/>
      <c r="B860" s="39"/>
      <c r="C860" s="39"/>
      <c r="D860" s="39"/>
      <c r="E860" s="39"/>
      <c r="F860" s="39"/>
      <c r="G860" s="39"/>
      <c r="H860" s="35"/>
      <c r="I860" s="88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</row>
    <row r="861" spans="1:24" ht="15.75" customHeight="1" x14ac:dyDescent="0.25">
      <c r="A861" s="39"/>
      <c r="B861" s="39"/>
      <c r="C861" s="39"/>
      <c r="D861" s="39"/>
      <c r="E861" s="39"/>
      <c r="F861" s="39"/>
      <c r="G861" s="39"/>
      <c r="H861" s="35"/>
      <c r="I861" s="88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</row>
    <row r="862" spans="1:24" ht="15.75" customHeight="1" x14ac:dyDescent="0.25">
      <c r="A862" s="39"/>
      <c r="B862" s="39"/>
      <c r="C862" s="39"/>
      <c r="D862" s="39"/>
      <c r="E862" s="39"/>
      <c r="F862" s="39"/>
      <c r="G862" s="39"/>
      <c r="H862" s="35"/>
      <c r="I862" s="88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</row>
    <row r="863" spans="1:24" ht="15.75" customHeight="1" x14ac:dyDescent="0.25">
      <c r="A863" s="39"/>
      <c r="B863" s="39"/>
      <c r="C863" s="39"/>
      <c r="D863" s="39"/>
      <c r="E863" s="39"/>
      <c r="F863" s="39"/>
      <c r="G863" s="39"/>
      <c r="H863" s="35"/>
      <c r="I863" s="88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</row>
    <row r="864" spans="1:24" ht="15.75" customHeight="1" x14ac:dyDescent="0.25">
      <c r="A864" s="39"/>
      <c r="B864" s="39"/>
      <c r="C864" s="39"/>
      <c r="D864" s="39"/>
      <c r="E864" s="39"/>
      <c r="F864" s="39"/>
      <c r="G864" s="39"/>
      <c r="H864" s="35"/>
      <c r="I864" s="88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</row>
    <row r="865" spans="1:24" ht="15.75" customHeight="1" x14ac:dyDescent="0.25">
      <c r="A865" s="39"/>
      <c r="B865" s="39"/>
      <c r="C865" s="39"/>
      <c r="D865" s="39"/>
      <c r="E865" s="39"/>
      <c r="F865" s="39"/>
      <c r="G865" s="39"/>
      <c r="H865" s="35"/>
      <c r="I865" s="88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</row>
    <row r="866" spans="1:24" ht="15.75" customHeight="1" x14ac:dyDescent="0.25">
      <c r="A866" s="39"/>
      <c r="B866" s="39"/>
      <c r="C866" s="39"/>
      <c r="D866" s="39"/>
      <c r="E866" s="39"/>
      <c r="F866" s="39"/>
      <c r="G866" s="39"/>
      <c r="H866" s="35"/>
      <c r="I866" s="88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</row>
    <row r="867" spans="1:24" ht="15.75" customHeight="1" x14ac:dyDescent="0.25">
      <c r="A867" s="39"/>
      <c r="B867" s="39"/>
      <c r="C867" s="39"/>
      <c r="D867" s="39"/>
      <c r="E867" s="39"/>
      <c r="F867" s="39"/>
      <c r="G867" s="39"/>
      <c r="H867" s="35"/>
      <c r="I867" s="88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</row>
    <row r="868" spans="1:24" ht="15.75" customHeight="1" x14ac:dyDescent="0.25">
      <c r="A868" s="39"/>
      <c r="B868" s="39"/>
      <c r="C868" s="39"/>
      <c r="D868" s="39"/>
      <c r="E868" s="39"/>
      <c r="F868" s="39"/>
      <c r="G868" s="39"/>
      <c r="H868" s="35"/>
      <c r="I868" s="88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</row>
    <row r="869" spans="1:24" ht="15.75" customHeight="1" x14ac:dyDescent="0.25">
      <c r="A869" s="39"/>
      <c r="B869" s="39"/>
      <c r="C869" s="39"/>
      <c r="D869" s="39"/>
      <c r="E869" s="39"/>
      <c r="F869" s="39"/>
      <c r="G869" s="39"/>
      <c r="H869" s="35"/>
      <c r="I869" s="88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</row>
    <row r="870" spans="1:24" ht="15.75" customHeight="1" x14ac:dyDescent="0.25">
      <c r="A870" s="39"/>
      <c r="B870" s="39"/>
      <c r="C870" s="39"/>
      <c r="D870" s="39"/>
      <c r="E870" s="39"/>
      <c r="F870" s="39"/>
      <c r="G870" s="39"/>
      <c r="H870" s="35"/>
      <c r="I870" s="88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</row>
    <row r="871" spans="1:24" ht="15.75" customHeight="1" x14ac:dyDescent="0.25">
      <c r="A871" s="39"/>
      <c r="B871" s="39"/>
      <c r="C871" s="39"/>
      <c r="D871" s="39"/>
      <c r="E871" s="39"/>
      <c r="F871" s="39"/>
      <c r="G871" s="39"/>
      <c r="H871" s="35"/>
      <c r="I871" s="88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</row>
    <row r="872" spans="1:24" ht="15.75" customHeight="1" x14ac:dyDescent="0.25">
      <c r="A872" s="39"/>
      <c r="B872" s="39"/>
      <c r="C872" s="39"/>
      <c r="D872" s="39"/>
      <c r="E872" s="39"/>
      <c r="F872" s="39"/>
      <c r="G872" s="39"/>
      <c r="H872" s="35"/>
      <c r="I872" s="88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</row>
    <row r="873" spans="1:24" ht="15.75" customHeight="1" x14ac:dyDescent="0.25">
      <c r="A873" s="39"/>
      <c r="B873" s="39"/>
      <c r="C873" s="39"/>
      <c r="D873" s="39"/>
      <c r="E873" s="39"/>
      <c r="F873" s="39"/>
      <c r="G873" s="39"/>
      <c r="H873" s="35"/>
      <c r="I873" s="88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</row>
    <row r="874" spans="1:24" ht="15.75" customHeight="1" x14ac:dyDescent="0.25">
      <c r="A874" s="39"/>
      <c r="B874" s="39"/>
      <c r="C874" s="39"/>
      <c r="D874" s="39"/>
      <c r="E874" s="39"/>
      <c r="F874" s="39"/>
      <c r="G874" s="39"/>
      <c r="H874" s="35"/>
      <c r="I874" s="88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</row>
    <row r="875" spans="1:24" ht="15.75" customHeight="1" x14ac:dyDescent="0.25">
      <c r="A875" s="39"/>
      <c r="B875" s="39"/>
      <c r="C875" s="39"/>
      <c r="D875" s="39"/>
      <c r="E875" s="39"/>
      <c r="F875" s="39"/>
      <c r="G875" s="39"/>
      <c r="H875" s="35"/>
      <c r="I875" s="88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</row>
    <row r="876" spans="1:24" ht="15.75" customHeight="1" x14ac:dyDescent="0.25">
      <c r="A876" s="39"/>
      <c r="B876" s="39"/>
      <c r="C876" s="39"/>
      <c r="D876" s="39"/>
      <c r="E876" s="39"/>
      <c r="F876" s="39"/>
      <c r="G876" s="39"/>
      <c r="H876" s="35"/>
      <c r="I876" s="88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</row>
    <row r="877" spans="1:24" ht="15.75" customHeight="1" x14ac:dyDescent="0.25">
      <c r="A877" s="39"/>
      <c r="B877" s="39"/>
      <c r="C877" s="39"/>
      <c r="D877" s="39"/>
      <c r="E877" s="39"/>
      <c r="F877" s="39"/>
      <c r="G877" s="39"/>
      <c r="H877" s="35"/>
      <c r="I877" s="88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</row>
    <row r="878" spans="1:24" ht="15.75" customHeight="1" x14ac:dyDescent="0.25">
      <c r="A878" s="39"/>
      <c r="B878" s="39"/>
      <c r="C878" s="39"/>
      <c r="D878" s="39"/>
      <c r="E878" s="39"/>
      <c r="F878" s="39"/>
      <c r="G878" s="39"/>
      <c r="H878" s="35"/>
      <c r="I878" s="88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</row>
    <row r="879" spans="1:24" ht="15.75" customHeight="1" x14ac:dyDescent="0.25">
      <c r="A879" s="39"/>
      <c r="B879" s="39"/>
      <c r="C879" s="39"/>
      <c r="D879" s="39"/>
      <c r="E879" s="39"/>
      <c r="F879" s="39"/>
      <c r="G879" s="39"/>
      <c r="H879" s="35"/>
      <c r="I879" s="88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</row>
    <row r="880" spans="1:24" ht="15.75" customHeight="1" x14ac:dyDescent="0.25">
      <c r="A880" s="39"/>
      <c r="B880" s="39"/>
      <c r="C880" s="39"/>
      <c r="D880" s="39"/>
      <c r="E880" s="39"/>
      <c r="F880" s="39"/>
      <c r="G880" s="39"/>
      <c r="H880" s="35"/>
      <c r="I880" s="88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</row>
    <row r="881" spans="1:24" ht="15.75" customHeight="1" x14ac:dyDescent="0.25">
      <c r="A881" s="39"/>
      <c r="B881" s="39"/>
      <c r="C881" s="39"/>
      <c r="D881" s="39"/>
      <c r="E881" s="39"/>
      <c r="F881" s="39"/>
      <c r="G881" s="39"/>
      <c r="H881" s="35"/>
      <c r="I881" s="88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</row>
    <row r="882" spans="1:24" ht="15.75" customHeight="1" x14ac:dyDescent="0.25">
      <c r="A882" s="39"/>
      <c r="B882" s="39"/>
      <c r="C882" s="39"/>
      <c r="D882" s="39"/>
      <c r="E882" s="39"/>
      <c r="F882" s="39"/>
      <c r="G882" s="39"/>
      <c r="H882" s="35"/>
      <c r="I882" s="88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</row>
    <row r="883" spans="1:24" ht="15.75" customHeight="1" x14ac:dyDescent="0.25">
      <c r="A883" s="39"/>
      <c r="B883" s="39"/>
      <c r="C883" s="39"/>
      <c r="D883" s="39"/>
      <c r="E883" s="39"/>
      <c r="F883" s="39"/>
      <c r="G883" s="39"/>
      <c r="H883" s="35"/>
      <c r="I883" s="88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</row>
    <row r="884" spans="1:24" ht="15.75" customHeight="1" x14ac:dyDescent="0.25">
      <c r="A884" s="39"/>
      <c r="B884" s="39"/>
      <c r="C884" s="39"/>
      <c r="D884" s="39"/>
      <c r="E884" s="39"/>
      <c r="F884" s="39"/>
      <c r="G884" s="39"/>
      <c r="H884" s="35"/>
      <c r="I884" s="88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</row>
    <row r="885" spans="1:24" ht="15.75" customHeight="1" x14ac:dyDescent="0.25">
      <c r="A885" s="39"/>
      <c r="B885" s="39"/>
      <c r="C885" s="39"/>
      <c r="D885" s="39"/>
      <c r="E885" s="39"/>
      <c r="F885" s="39"/>
      <c r="G885" s="39"/>
      <c r="H885" s="35"/>
      <c r="I885" s="88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</row>
    <row r="886" spans="1:24" ht="15.75" customHeight="1" x14ac:dyDescent="0.25">
      <c r="A886" s="39"/>
      <c r="B886" s="39"/>
      <c r="C886" s="39"/>
      <c r="D886" s="39"/>
      <c r="E886" s="39"/>
      <c r="F886" s="39"/>
      <c r="G886" s="39"/>
      <c r="H886" s="35"/>
      <c r="I886" s="88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</row>
    <row r="887" spans="1:24" ht="15.75" customHeight="1" x14ac:dyDescent="0.25">
      <c r="A887" s="39"/>
      <c r="B887" s="39"/>
      <c r="C887" s="39"/>
      <c r="D887" s="39"/>
      <c r="E887" s="39"/>
      <c r="F887" s="39"/>
      <c r="G887" s="39"/>
      <c r="H887" s="35"/>
      <c r="I887" s="88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</row>
    <row r="888" spans="1:24" ht="15.75" customHeight="1" x14ac:dyDescent="0.25">
      <c r="A888" s="39"/>
      <c r="B888" s="39"/>
      <c r="C888" s="39"/>
      <c r="D888" s="39"/>
      <c r="E888" s="39"/>
      <c r="F888" s="39"/>
      <c r="G888" s="39"/>
      <c r="H888" s="35"/>
      <c r="I888" s="88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</row>
    <row r="889" spans="1:24" ht="15.75" customHeight="1" x14ac:dyDescent="0.25">
      <c r="A889" s="39"/>
      <c r="B889" s="39"/>
      <c r="C889" s="39"/>
      <c r="D889" s="39"/>
      <c r="E889" s="39"/>
      <c r="F889" s="39"/>
      <c r="G889" s="39"/>
      <c r="H889" s="35"/>
      <c r="I889" s="88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</row>
    <row r="890" spans="1:24" ht="15.75" customHeight="1" x14ac:dyDescent="0.25">
      <c r="A890" s="39"/>
      <c r="B890" s="39"/>
      <c r="C890" s="39"/>
      <c r="D890" s="39"/>
      <c r="E890" s="39"/>
      <c r="F890" s="39"/>
      <c r="G890" s="39"/>
      <c r="H890" s="35"/>
      <c r="I890" s="88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</row>
    <row r="891" spans="1:24" ht="15.75" customHeight="1" x14ac:dyDescent="0.25">
      <c r="A891" s="39"/>
      <c r="B891" s="39"/>
      <c r="C891" s="39"/>
      <c r="D891" s="39"/>
      <c r="E891" s="39"/>
      <c r="F891" s="39"/>
      <c r="G891" s="39"/>
      <c r="H891" s="35"/>
      <c r="I891" s="88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</row>
    <row r="892" spans="1:24" ht="15.75" customHeight="1" x14ac:dyDescent="0.25">
      <c r="A892" s="39"/>
      <c r="B892" s="39"/>
      <c r="C892" s="39"/>
      <c r="D892" s="39"/>
      <c r="E892" s="39"/>
      <c r="F892" s="39"/>
      <c r="G892" s="39"/>
      <c r="H892" s="35"/>
      <c r="I892" s="88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</row>
    <row r="893" spans="1:24" ht="15.75" customHeight="1" x14ac:dyDescent="0.25">
      <c r="A893" s="39"/>
      <c r="B893" s="39"/>
      <c r="C893" s="39"/>
      <c r="D893" s="39"/>
      <c r="E893" s="39"/>
      <c r="F893" s="39"/>
      <c r="G893" s="39"/>
      <c r="H893" s="35"/>
      <c r="I893" s="88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</row>
    <row r="894" spans="1:24" ht="15.75" customHeight="1" x14ac:dyDescent="0.25">
      <c r="A894" s="39"/>
      <c r="B894" s="39"/>
      <c r="C894" s="39"/>
      <c r="D894" s="39"/>
      <c r="E894" s="39"/>
      <c r="F894" s="39"/>
      <c r="G894" s="39"/>
      <c r="H894" s="35"/>
      <c r="I894" s="88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</row>
    <row r="895" spans="1:24" ht="15.75" customHeight="1" x14ac:dyDescent="0.25">
      <c r="A895" s="39"/>
      <c r="B895" s="39"/>
      <c r="C895" s="39"/>
      <c r="D895" s="39"/>
      <c r="E895" s="39"/>
      <c r="F895" s="39"/>
      <c r="G895" s="39"/>
      <c r="H895" s="35"/>
      <c r="I895" s="88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</row>
    <row r="896" spans="1:24" ht="15.75" customHeight="1" x14ac:dyDescent="0.25">
      <c r="A896" s="39"/>
      <c r="B896" s="39"/>
      <c r="C896" s="39"/>
      <c r="D896" s="39"/>
      <c r="E896" s="39"/>
      <c r="F896" s="39"/>
      <c r="G896" s="39"/>
      <c r="H896" s="35"/>
      <c r="I896" s="88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</row>
    <row r="897" spans="1:24" ht="15.75" customHeight="1" x14ac:dyDescent="0.25">
      <c r="A897" s="39"/>
      <c r="B897" s="39"/>
      <c r="C897" s="39"/>
      <c r="D897" s="39"/>
      <c r="E897" s="39"/>
      <c r="F897" s="39"/>
      <c r="G897" s="39"/>
      <c r="H897" s="35"/>
      <c r="I897" s="88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</row>
    <row r="898" spans="1:24" ht="15.75" customHeight="1" x14ac:dyDescent="0.25">
      <c r="A898" s="39"/>
      <c r="B898" s="39"/>
      <c r="C898" s="39"/>
      <c r="D898" s="39"/>
      <c r="E898" s="39"/>
      <c r="F898" s="39"/>
      <c r="G898" s="39"/>
      <c r="H898" s="35"/>
      <c r="I898" s="88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</row>
    <row r="899" spans="1:24" ht="15.75" customHeight="1" x14ac:dyDescent="0.25">
      <c r="A899" s="39"/>
      <c r="B899" s="39"/>
      <c r="C899" s="39"/>
      <c r="D899" s="39"/>
      <c r="E899" s="39"/>
      <c r="F899" s="39"/>
      <c r="G899" s="39"/>
      <c r="H899" s="35"/>
      <c r="I899" s="88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</row>
    <row r="900" spans="1:24" ht="15.75" customHeight="1" x14ac:dyDescent="0.25">
      <c r="A900" s="39"/>
      <c r="B900" s="39"/>
      <c r="C900" s="39"/>
      <c r="D900" s="39"/>
      <c r="E900" s="39"/>
      <c r="F900" s="39"/>
      <c r="G900" s="39"/>
      <c r="H900" s="35"/>
      <c r="I900" s="88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</row>
    <row r="901" spans="1:24" ht="15.75" customHeight="1" x14ac:dyDescent="0.25">
      <c r="A901" s="39"/>
      <c r="B901" s="39"/>
      <c r="C901" s="39"/>
      <c r="D901" s="39"/>
      <c r="E901" s="39"/>
      <c r="F901" s="39"/>
      <c r="G901" s="39"/>
      <c r="H901" s="35"/>
      <c r="I901" s="88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</row>
    <row r="902" spans="1:24" ht="15.75" customHeight="1" x14ac:dyDescent="0.25">
      <c r="A902" s="39"/>
      <c r="B902" s="39"/>
      <c r="C902" s="39"/>
      <c r="D902" s="39"/>
      <c r="E902" s="39"/>
      <c r="F902" s="39"/>
      <c r="G902" s="39"/>
      <c r="H902" s="35"/>
      <c r="I902" s="88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</row>
    <row r="903" spans="1:24" ht="15.75" customHeight="1" x14ac:dyDescent="0.25">
      <c r="A903" s="39"/>
      <c r="B903" s="39"/>
      <c r="C903" s="39"/>
      <c r="D903" s="39"/>
      <c r="E903" s="39"/>
      <c r="F903" s="39"/>
      <c r="G903" s="39"/>
      <c r="H903" s="35"/>
      <c r="I903" s="88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</row>
    <row r="904" spans="1:24" ht="15.75" customHeight="1" x14ac:dyDescent="0.25">
      <c r="A904" s="39"/>
      <c r="B904" s="39"/>
      <c r="C904" s="39"/>
      <c r="D904" s="39"/>
      <c r="E904" s="39"/>
      <c r="F904" s="39"/>
      <c r="G904" s="39"/>
      <c r="H904" s="35"/>
      <c r="I904" s="88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</row>
    <row r="905" spans="1:24" ht="15.75" customHeight="1" x14ac:dyDescent="0.25">
      <c r="A905" s="39"/>
      <c r="B905" s="39"/>
      <c r="C905" s="39"/>
      <c r="D905" s="39"/>
      <c r="E905" s="39"/>
      <c r="F905" s="39"/>
      <c r="G905" s="39"/>
      <c r="H905" s="35"/>
      <c r="I905" s="88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</row>
    <row r="906" spans="1:24" ht="15.75" customHeight="1" x14ac:dyDescent="0.25">
      <c r="A906" s="39"/>
      <c r="B906" s="39"/>
      <c r="C906" s="39"/>
      <c r="D906" s="39"/>
      <c r="E906" s="39"/>
      <c r="F906" s="39"/>
      <c r="G906" s="39"/>
      <c r="H906" s="35"/>
      <c r="I906" s="88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</row>
    <row r="907" spans="1:24" ht="15.75" customHeight="1" x14ac:dyDescent="0.25">
      <c r="A907" s="39"/>
      <c r="B907" s="39"/>
      <c r="C907" s="39"/>
      <c r="D907" s="39"/>
      <c r="E907" s="39"/>
      <c r="F907" s="39"/>
      <c r="G907" s="39"/>
      <c r="H907" s="35"/>
      <c r="I907" s="88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</row>
    <row r="908" spans="1:24" ht="15.75" customHeight="1" x14ac:dyDescent="0.25">
      <c r="A908" s="39"/>
      <c r="B908" s="39"/>
      <c r="C908" s="39"/>
      <c r="D908" s="39"/>
      <c r="E908" s="39"/>
      <c r="F908" s="39"/>
      <c r="G908" s="39"/>
      <c r="H908" s="35"/>
      <c r="I908" s="88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</row>
    <row r="909" spans="1:24" ht="15.75" customHeight="1" x14ac:dyDescent="0.25">
      <c r="A909" s="39"/>
      <c r="B909" s="39"/>
      <c r="C909" s="39"/>
      <c r="D909" s="39"/>
      <c r="E909" s="39"/>
      <c r="F909" s="39"/>
      <c r="G909" s="39"/>
      <c r="H909" s="35"/>
      <c r="I909" s="88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</row>
    <row r="910" spans="1:24" ht="15.75" customHeight="1" x14ac:dyDescent="0.25">
      <c r="A910" s="39"/>
      <c r="B910" s="39"/>
      <c r="C910" s="39"/>
      <c r="D910" s="39"/>
      <c r="E910" s="39"/>
      <c r="F910" s="39"/>
      <c r="G910" s="39"/>
      <c r="H910" s="35"/>
      <c r="I910" s="88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</row>
    <row r="911" spans="1:24" ht="15.75" customHeight="1" x14ac:dyDescent="0.25">
      <c r="A911" s="39"/>
      <c r="B911" s="39"/>
      <c r="C911" s="39"/>
      <c r="D911" s="39"/>
      <c r="E911" s="39"/>
      <c r="F911" s="39"/>
      <c r="G911" s="39"/>
      <c r="H911" s="35"/>
      <c r="I911" s="88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</row>
    <row r="912" spans="1:24" ht="15.75" customHeight="1" x14ac:dyDescent="0.25">
      <c r="A912" s="39"/>
      <c r="B912" s="39"/>
      <c r="C912" s="39"/>
      <c r="D912" s="39"/>
      <c r="E912" s="39"/>
      <c r="F912" s="39"/>
      <c r="G912" s="39"/>
      <c r="H912" s="35"/>
      <c r="I912" s="88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</row>
    <row r="913" spans="1:24" ht="15.75" customHeight="1" x14ac:dyDescent="0.25">
      <c r="A913" s="39"/>
      <c r="B913" s="39"/>
      <c r="C913" s="39"/>
      <c r="D913" s="39"/>
      <c r="E913" s="39"/>
      <c r="F913" s="39"/>
      <c r="G913" s="39"/>
      <c r="H913" s="35"/>
      <c r="I913" s="88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</row>
    <row r="914" spans="1:24" ht="15.75" customHeight="1" x14ac:dyDescent="0.25">
      <c r="A914" s="39"/>
      <c r="B914" s="39"/>
      <c r="C914" s="39"/>
      <c r="D914" s="39"/>
      <c r="E914" s="39"/>
      <c r="F914" s="39"/>
      <c r="G914" s="39"/>
      <c r="H914" s="35"/>
      <c r="I914" s="88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</row>
    <row r="915" spans="1:24" ht="15.75" customHeight="1" x14ac:dyDescent="0.25">
      <c r="A915" s="39"/>
      <c r="B915" s="39"/>
      <c r="C915" s="39"/>
      <c r="D915" s="39"/>
      <c r="E915" s="39"/>
      <c r="F915" s="39"/>
      <c r="G915" s="39"/>
      <c r="H915" s="35"/>
      <c r="I915" s="88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</row>
    <row r="916" spans="1:24" ht="15.75" customHeight="1" x14ac:dyDescent="0.25">
      <c r="A916" s="39"/>
      <c r="B916" s="39"/>
      <c r="C916" s="39"/>
      <c r="D916" s="39"/>
      <c r="E916" s="39"/>
      <c r="F916" s="39"/>
      <c r="G916" s="39"/>
      <c r="H916" s="35"/>
      <c r="I916" s="88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</row>
    <row r="917" spans="1:24" ht="15.75" customHeight="1" x14ac:dyDescent="0.25">
      <c r="A917" s="39"/>
      <c r="B917" s="39"/>
      <c r="C917" s="39"/>
      <c r="D917" s="39"/>
      <c r="E917" s="39"/>
      <c r="F917" s="39"/>
      <c r="G917" s="39"/>
      <c r="H917" s="35"/>
      <c r="I917" s="88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</row>
    <row r="918" spans="1:24" ht="15.75" customHeight="1" x14ac:dyDescent="0.25">
      <c r="A918" s="39"/>
      <c r="B918" s="39"/>
      <c r="C918" s="39"/>
      <c r="D918" s="39"/>
      <c r="E918" s="39"/>
      <c r="F918" s="39"/>
      <c r="G918" s="39"/>
      <c r="H918" s="35"/>
      <c r="I918" s="88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</row>
    <row r="919" spans="1:24" ht="15.75" customHeight="1" x14ac:dyDescent="0.25">
      <c r="A919" s="39"/>
      <c r="B919" s="39"/>
      <c r="C919" s="39"/>
      <c r="D919" s="39"/>
      <c r="E919" s="39"/>
      <c r="F919" s="39"/>
      <c r="G919" s="39"/>
      <c r="H919" s="35"/>
      <c r="I919" s="88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</row>
    <row r="920" spans="1:24" ht="15.75" customHeight="1" x14ac:dyDescent="0.25">
      <c r="A920" s="39"/>
      <c r="B920" s="39"/>
      <c r="C920" s="39"/>
      <c r="D920" s="39"/>
      <c r="E920" s="39"/>
      <c r="F920" s="39"/>
      <c r="G920" s="39"/>
      <c r="H920" s="35"/>
      <c r="I920" s="88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</row>
    <row r="921" spans="1:24" ht="15.75" customHeight="1" x14ac:dyDescent="0.25">
      <c r="A921" s="39"/>
      <c r="B921" s="39"/>
      <c r="C921" s="39"/>
      <c r="D921" s="39"/>
      <c r="E921" s="39"/>
      <c r="F921" s="39"/>
      <c r="G921" s="39"/>
      <c r="H921" s="35"/>
      <c r="I921" s="88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</row>
    <row r="922" spans="1:24" ht="15.75" customHeight="1" x14ac:dyDescent="0.25">
      <c r="A922" s="39"/>
      <c r="B922" s="39"/>
      <c r="C922" s="39"/>
      <c r="D922" s="39"/>
      <c r="E922" s="39"/>
      <c r="F922" s="39"/>
      <c r="G922" s="39"/>
      <c r="H922" s="35"/>
      <c r="I922" s="88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</row>
    <row r="923" spans="1:24" ht="15.75" customHeight="1" x14ac:dyDescent="0.25">
      <c r="A923" s="39"/>
      <c r="B923" s="39"/>
      <c r="C923" s="39"/>
      <c r="D923" s="39"/>
      <c r="E923" s="39"/>
      <c r="F923" s="39"/>
      <c r="G923" s="39"/>
      <c r="H923" s="35"/>
      <c r="I923" s="88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</row>
    <row r="924" spans="1:24" ht="15.75" customHeight="1" x14ac:dyDescent="0.25">
      <c r="A924" s="39"/>
      <c r="B924" s="39"/>
      <c r="C924" s="39"/>
      <c r="D924" s="39"/>
      <c r="E924" s="39"/>
      <c r="F924" s="39"/>
      <c r="G924" s="39"/>
      <c r="H924" s="35"/>
      <c r="I924" s="88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</row>
    <row r="925" spans="1:24" ht="15.75" customHeight="1" x14ac:dyDescent="0.25">
      <c r="A925" s="39"/>
      <c r="B925" s="39"/>
      <c r="C925" s="39"/>
      <c r="D925" s="39"/>
      <c r="E925" s="39"/>
      <c r="F925" s="39"/>
      <c r="G925" s="39"/>
      <c r="H925" s="35"/>
      <c r="I925" s="88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</row>
    <row r="926" spans="1:24" ht="15.75" customHeight="1" x14ac:dyDescent="0.25">
      <c r="A926" s="39"/>
      <c r="B926" s="39"/>
      <c r="C926" s="39"/>
      <c r="D926" s="39"/>
      <c r="E926" s="39"/>
      <c r="F926" s="39"/>
      <c r="G926" s="39"/>
      <c r="H926" s="35"/>
      <c r="I926" s="88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</row>
    <row r="927" spans="1:24" ht="15.75" customHeight="1" x14ac:dyDescent="0.25">
      <c r="A927" s="39"/>
      <c r="B927" s="39"/>
      <c r="C927" s="39"/>
      <c r="D927" s="39"/>
      <c r="E927" s="39"/>
      <c r="F927" s="39"/>
      <c r="G927" s="39"/>
      <c r="H927" s="35"/>
      <c r="I927" s="88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</row>
    <row r="928" spans="1:24" ht="15.75" customHeight="1" x14ac:dyDescent="0.25">
      <c r="A928" s="39"/>
      <c r="B928" s="39"/>
      <c r="C928" s="39"/>
      <c r="D928" s="39"/>
      <c r="E928" s="39"/>
      <c r="F928" s="39"/>
      <c r="G928" s="39"/>
      <c r="H928" s="35"/>
      <c r="I928" s="88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</row>
    <row r="929" spans="1:24" ht="15.75" customHeight="1" x14ac:dyDescent="0.25">
      <c r="A929" s="39"/>
      <c r="B929" s="39"/>
      <c r="C929" s="39"/>
      <c r="D929" s="39"/>
      <c r="E929" s="39"/>
      <c r="F929" s="39"/>
      <c r="G929" s="39"/>
      <c r="H929" s="35"/>
      <c r="I929" s="88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</row>
    <row r="930" spans="1:24" ht="15.75" customHeight="1" x14ac:dyDescent="0.25">
      <c r="A930" s="39"/>
      <c r="B930" s="39"/>
      <c r="C930" s="39"/>
      <c r="D930" s="39"/>
      <c r="E930" s="39"/>
      <c r="F930" s="39"/>
      <c r="G930" s="39"/>
      <c r="H930" s="35"/>
      <c r="I930" s="88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</row>
    <row r="931" spans="1:24" ht="15.75" customHeight="1" x14ac:dyDescent="0.25">
      <c r="A931" s="39"/>
      <c r="B931" s="39"/>
      <c r="C931" s="39"/>
      <c r="D931" s="39"/>
      <c r="E931" s="39"/>
      <c r="F931" s="39"/>
      <c r="G931" s="39"/>
      <c r="H931" s="35"/>
      <c r="I931" s="88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</row>
    <row r="932" spans="1:24" ht="15.75" customHeight="1" x14ac:dyDescent="0.25">
      <c r="A932" s="39"/>
      <c r="B932" s="39"/>
      <c r="C932" s="39"/>
      <c r="D932" s="39"/>
      <c r="E932" s="39"/>
      <c r="F932" s="39"/>
      <c r="G932" s="39"/>
      <c r="H932" s="35"/>
      <c r="I932" s="88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</row>
    <row r="933" spans="1:24" ht="15.75" customHeight="1" x14ac:dyDescent="0.25">
      <c r="A933" s="39"/>
      <c r="B933" s="39"/>
      <c r="C933" s="39"/>
      <c r="D933" s="39"/>
      <c r="E933" s="39"/>
      <c r="F933" s="39"/>
      <c r="G933" s="39"/>
      <c r="H933" s="35"/>
      <c r="I933" s="88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</row>
    <row r="934" spans="1:24" ht="15.75" customHeight="1" x14ac:dyDescent="0.25">
      <c r="A934" s="39"/>
      <c r="B934" s="39"/>
      <c r="C934" s="39"/>
      <c r="D934" s="39"/>
      <c r="E934" s="39"/>
      <c r="F934" s="39"/>
      <c r="G934" s="39"/>
      <c r="H934" s="35"/>
      <c r="I934" s="88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</row>
    <row r="935" spans="1:24" ht="15.75" customHeight="1" x14ac:dyDescent="0.25">
      <c r="A935" s="39"/>
      <c r="B935" s="39"/>
      <c r="C935" s="39"/>
      <c r="D935" s="39"/>
      <c r="E935" s="39"/>
      <c r="F935" s="39"/>
      <c r="G935" s="39"/>
      <c r="H935" s="35"/>
      <c r="I935" s="88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</row>
    <row r="936" spans="1:24" ht="15.75" customHeight="1" x14ac:dyDescent="0.25">
      <c r="A936" s="39"/>
      <c r="B936" s="39"/>
      <c r="C936" s="39"/>
      <c r="D936" s="39"/>
      <c r="E936" s="39"/>
      <c r="F936" s="39"/>
      <c r="G936" s="39"/>
      <c r="H936" s="35"/>
      <c r="I936" s="88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</row>
    <row r="937" spans="1:24" ht="15.75" customHeight="1" x14ac:dyDescent="0.25">
      <c r="A937" s="39"/>
      <c r="B937" s="39"/>
      <c r="C937" s="39"/>
      <c r="D937" s="39"/>
      <c r="E937" s="39"/>
      <c r="F937" s="39"/>
      <c r="G937" s="39"/>
      <c r="H937" s="35"/>
      <c r="I937" s="88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</row>
    <row r="938" spans="1:24" ht="15.75" customHeight="1" x14ac:dyDescent="0.25">
      <c r="A938" s="39"/>
      <c r="B938" s="39"/>
      <c r="C938" s="39"/>
      <c r="D938" s="39"/>
      <c r="E938" s="39"/>
      <c r="F938" s="39"/>
      <c r="G938" s="39"/>
      <c r="H938" s="35"/>
      <c r="I938" s="88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</row>
    <row r="939" spans="1:24" ht="15.75" customHeight="1" x14ac:dyDescent="0.25">
      <c r="A939" s="39"/>
      <c r="B939" s="39"/>
      <c r="C939" s="39"/>
      <c r="D939" s="39"/>
      <c r="E939" s="39"/>
      <c r="F939" s="39"/>
      <c r="G939" s="39"/>
      <c r="H939" s="35"/>
      <c r="I939" s="88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</row>
    <row r="940" spans="1:24" ht="15.75" customHeight="1" x14ac:dyDescent="0.25">
      <c r="A940" s="39"/>
      <c r="B940" s="39"/>
      <c r="C940" s="39"/>
      <c r="D940" s="39"/>
      <c r="E940" s="39"/>
      <c r="F940" s="39"/>
      <c r="G940" s="39"/>
      <c r="H940" s="35"/>
      <c r="I940" s="88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</row>
    <row r="941" spans="1:24" ht="15.75" customHeight="1" x14ac:dyDescent="0.25">
      <c r="A941" s="39"/>
      <c r="B941" s="39"/>
      <c r="C941" s="39"/>
      <c r="D941" s="39"/>
      <c r="E941" s="39"/>
      <c r="F941" s="39"/>
      <c r="G941" s="39"/>
      <c r="H941" s="35"/>
      <c r="I941" s="88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</row>
    <row r="942" spans="1:24" ht="15.75" customHeight="1" x14ac:dyDescent="0.25">
      <c r="A942" s="39"/>
      <c r="B942" s="39"/>
      <c r="C942" s="39"/>
      <c r="D942" s="39"/>
      <c r="E942" s="39"/>
      <c r="F942" s="39"/>
      <c r="G942" s="39"/>
      <c r="H942" s="35"/>
      <c r="I942" s="88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</row>
    <row r="943" spans="1:24" ht="15.75" customHeight="1" x14ac:dyDescent="0.25">
      <c r="A943" s="39"/>
      <c r="B943" s="39"/>
      <c r="C943" s="39"/>
      <c r="D943" s="39"/>
      <c r="E943" s="39"/>
      <c r="F943" s="39"/>
      <c r="G943" s="39"/>
      <c r="H943" s="35"/>
      <c r="I943" s="88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</row>
    <row r="944" spans="1:24" ht="15.75" customHeight="1" x14ac:dyDescent="0.25">
      <c r="A944" s="39"/>
      <c r="B944" s="39"/>
      <c r="C944" s="39"/>
      <c r="D944" s="39"/>
      <c r="E944" s="39"/>
      <c r="F944" s="39"/>
      <c r="G944" s="39"/>
      <c r="H944" s="35"/>
      <c r="I944" s="88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</row>
    <row r="945" spans="1:24" ht="15.75" customHeight="1" x14ac:dyDescent="0.25">
      <c r="A945" s="39"/>
      <c r="B945" s="39"/>
      <c r="C945" s="39"/>
      <c r="D945" s="39"/>
      <c r="E945" s="39"/>
      <c r="F945" s="39"/>
      <c r="G945" s="39"/>
      <c r="H945" s="35"/>
      <c r="I945" s="88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</row>
    <row r="946" spans="1:24" ht="15.75" customHeight="1" x14ac:dyDescent="0.25">
      <c r="A946" s="39"/>
      <c r="B946" s="39"/>
      <c r="C946" s="39"/>
      <c r="D946" s="39"/>
      <c r="E946" s="39"/>
      <c r="F946" s="39"/>
      <c r="G946" s="39"/>
      <c r="H946" s="35"/>
      <c r="I946" s="88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</row>
    <row r="947" spans="1:24" ht="15.75" customHeight="1" x14ac:dyDescent="0.25">
      <c r="A947" s="39"/>
      <c r="B947" s="39"/>
      <c r="C947" s="39"/>
      <c r="D947" s="39"/>
      <c r="E947" s="39"/>
      <c r="F947" s="39"/>
      <c r="G947" s="39"/>
      <c r="H947" s="35"/>
      <c r="I947" s="88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</row>
    <row r="948" spans="1:24" ht="15.75" customHeight="1" x14ac:dyDescent="0.25">
      <c r="A948" s="39"/>
      <c r="B948" s="39"/>
      <c r="C948" s="39"/>
      <c r="D948" s="39"/>
      <c r="E948" s="39"/>
      <c r="F948" s="39"/>
      <c r="G948" s="39"/>
      <c r="H948" s="35"/>
      <c r="I948" s="88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</row>
    <row r="949" spans="1:24" ht="15.75" customHeight="1" x14ac:dyDescent="0.25">
      <c r="A949" s="39"/>
      <c r="B949" s="39"/>
      <c r="C949" s="39"/>
      <c r="D949" s="39"/>
      <c r="E949" s="39"/>
      <c r="F949" s="39"/>
      <c r="G949" s="39"/>
      <c r="H949" s="35"/>
      <c r="I949" s="88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</row>
    <row r="950" spans="1:24" ht="15.75" customHeight="1" x14ac:dyDescent="0.25">
      <c r="A950" s="39"/>
      <c r="B950" s="39"/>
      <c r="C950" s="39"/>
      <c r="D950" s="39"/>
      <c r="E950" s="39"/>
      <c r="F950" s="39"/>
      <c r="G950" s="39"/>
      <c r="H950" s="35"/>
      <c r="I950" s="88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</row>
    <row r="951" spans="1:24" ht="15.75" customHeight="1" x14ac:dyDescent="0.25">
      <c r="A951" s="39"/>
      <c r="B951" s="39"/>
      <c r="C951" s="39"/>
      <c r="D951" s="39"/>
      <c r="E951" s="39"/>
      <c r="F951" s="39"/>
      <c r="G951" s="39"/>
      <c r="H951" s="35"/>
      <c r="I951" s="88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</row>
    <row r="952" spans="1:24" ht="15.75" customHeight="1" x14ac:dyDescent="0.25">
      <c r="A952" s="39"/>
      <c r="B952" s="39"/>
      <c r="C952" s="39"/>
      <c r="D952" s="39"/>
      <c r="E952" s="39"/>
      <c r="F952" s="39"/>
      <c r="G952" s="39"/>
      <c r="H952" s="35"/>
      <c r="I952" s="88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</row>
    <row r="953" spans="1:24" ht="15.75" customHeight="1" x14ac:dyDescent="0.25">
      <c r="A953" s="39"/>
      <c r="B953" s="39"/>
      <c r="C953" s="39"/>
      <c r="D953" s="39"/>
      <c r="E953" s="39"/>
      <c r="F953" s="39"/>
      <c r="G953" s="39"/>
      <c r="H953" s="35"/>
      <c r="I953" s="88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</row>
    <row r="954" spans="1:24" ht="15.75" customHeight="1" x14ac:dyDescent="0.25">
      <c r="A954" s="39"/>
      <c r="B954" s="39"/>
      <c r="C954" s="39"/>
      <c r="D954" s="39"/>
      <c r="E954" s="39"/>
      <c r="F954" s="39"/>
      <c r="G954" s="39"/>
      <c r="H954" s="35"/>
      <c r="I954" s="88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</row>
    <row r="955" spans="1:24" ht="15.75" customHeight="1" x14ac:dyDescent="0.25">
      <c r="A955" s="39"/>
      <c r="B955" s="39"/>
      <c r="C955" s="39"/>
      <c r="D955" s="39"/>
      <c r="E955" s="39"/>
      <c r="F955" s="39"/>
      <c r="G955" s="39"/>
      <c r="H955" s="35"/>
      <c r="I955" s="88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</row>
    <row r="956" spans="1:24" ht="15.75" customHeight="1" x14ac:dyDescent="0.25">
      <c r="A956" s="39"/>
      <c r="B956" s="39"/>
      <c r="C956" s="39"/>
      <c r="D956" s="39"/>
      <c r="E956" s="39"/>
      <c r="F956" s="39"/>
      <c r="G956" s="39"/>
      <c r="H956" s="35"/>
      <c r="I956" s="88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</row>
    <row r="957" spans="1:24" ht="15.75" customHeight="1" x14ac:dyDescent="0.25">
      <c r="A957" s="39"/>
      <c r="B957" s="39"/>
      <c r="C957" s="39"/>
      <c r="D957" s="39"/>
      <c r="E957" s="39"/>
      <c r="F957" s="39"/>
      <c r="G957" s="39"/>
      <c r="H957" s="35"/>
      <c r="I957" s="88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</row>
    <row r="958" spans="1:24" ht="15.75" customHeight="1" x14ac:dyDescent="0.25">
      <c r="A958" s="39"/>
      <c r="B958" s="39"/>
      <c r="C958" s="39"/>
      <c r="D958" s="39"/>
      <c r="E958" s="39"/>
      <c r="F958" s="39"/>
      <c r="G958" s="39"/>
      <c r="H958" s="35"/>
      <c r="I958" s="88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</row>
    <row r="959" spans="1:24" ht="15.75" customHeight="1" x14ac:dyDescent="0.25">
      <c r="A959" s="39"/>
      <c r="B959" s="39"/>
      <c r="C959" s="39"/>
      <c r="D959" s="39"/>
      <c r="E959" s="39"/>
      <c r="F959" s="39"/>
      <c r="G959" s="39"/>
      <c r="H959" s="35"/>
      <c r="I959" s="88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</row>
    <row r="960" spans="1:24" ht="15.75" customHeight="1" x14ac:dyDescent="0.25">
      <c r="A960" s="39"/>
      <c r="B960" s="39"/>
      <c r="C960" s="39"/>
      <c r="D960" s="39"/>
      <c r="E960" s="39"/>
      <c r="F960" s="39"/>
      <c r="G960" s="39"/>
      <c r="H960" s="35"/>
      <c r="I960" s="88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</row>
    <row r="961" spans="1:24" ht="15.75" customHeight="1" x14ac:dyDescent="0.25">
      <c r="A961" s="39"/>
      <c r="B961" s="39"/>
      <c r="C961" s="39"/>
      <c r="D961" s="39"/>
      <c r="E961" s="39"/>
      <c r="F961" s="39"/>
      <c r="G961" s="39"/>
      <c r="H961" s="35"/>
      <c r="I961" s="88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</row>
    <row r="962" spans="1:24" ht="15.75" customHeight="1" x14ac:dyDescent="0.25">
      <c r="A962" s="39"/>
      <c r="B962" s="39"/>
      <c r="C962" s="39"/>
      <c r="D962" s="39"/>
      <c r="E962" s="39"/>
      <c r="F962" s="39"/>
      <c r="G962" s="39"/>
      <c r="H962" s="35"/>
      <c r="I962" s="88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</row>
    <row r="963" spans="1:24" ht="15.75" customHeight="1" x14ac:dyDescent="0.25">
      <c r="A963" s="39"/>
      <c r="B963" s="39"/>
      <c r="C963" s="39"/>
      <c r="D963" s="39"/>
      <c r="E963" s="39"/>
      <c r="F963" s="39"/>
      <c r="G963" s="39"/>
      <c r="H963" s="35"/>
      <c r="I963" s="88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</row>
    <row r="964" spans="1:24" ht="15.75" customHeight="1" x14ac:dyDescent="0.25">
      <c r="A964" s="39"/>
      <c r="B964" s="39"/>
      <c r="C964" s="39"/>
      <c r="D964" s="39"/>
      <c r="E964" s="39"/>
      <c r="F964" s="39"/>
      <c r="G964" s="39"/>
      <c r="H964" s="35"/>
      <c r="I964" s="88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</row>
    <row r="965" spans="1:24" ht="15.75" customHeight="1" x14ac:dyDescent="0.25">
      <c r="A965" s="39"/>
      <c r="B965" s="39"/>
      <c r="C965" s="39"/>
      <c r="D965" s="39"/>
      <c r="E965" s="39"/>
      <c r="F965" s="39"/>
      <c r="G965" s="39"/>
      <c r="H965" s="35"/>
      <c r="I965" s="88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</row>
    <row r="966" spans="1:24" ht="15.75" customHeight="1" x14ac:dyDescent="0.25">
      <c r="A966" s="39"/>
      <c r="B966" s="39"/>
      <c r="C966" s="39"/>
      <c r="D966" s="39"/>
      <c r="E966" s="39"/>
      <c r="F966" s="39"/>
      <c r="G966" s="39"/>
      <c r="H966" s="35"/>
      <c r="I966" s="88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</row>
    <row r="967" spans="1:24" ht="15.75" customHeight="1" x14ac:dyDescent="0.25">
      <c r="A967" s="39"/>
      <c r="B967" s="39"/>
      <c r="C967" s="39"/>
      <c r="D967" s="39"/>
      <c r="E967" s="39"/>
      <c r="F967" s="39"/>
      <c r="G967" s="39"/>
      <c r="H967" s="35"/>
      <c r="I967" s="88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</row>
    <row r="968" spans="1:24" ht="15.75" customHeight="1" x14ac:dyDescent="0.25">
      <c r="A968" s="39"/>
      <c r="B968" s="39"/>
      <c r="C968" s="39"/>
      <c r="D968" s="39"/>
      <c r="E968" s="39"/>
      <c r="F968" s="39"/>
      <c r="G968" s="39"/>
      <c r="H968" s="35"/>
      <c r="I968" s="88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</row>
    <row r="969" spans="1:24" ht="15.75" customHeight="1" x14ac:dyDescent="0.25">
      <c r="A969" s="39"/>
      <c r="B969" s="39"/>
      <c r="C969" s="39"/>
      <c r="D969" s="39"/>
      <c r="E969" s="39"/>
      <c r="F969" s="39"/>
      <c r="G969" s="39"/>
      <c r="H969" s="35"/>
      <c r="I969" s="88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</row>
    <row r="970" spans="1:24" ht="15.75" customHeight="1" x14ac:dyDescent="0.25">
      <c r="A970" s="39"/>
      <c r="B970" s="39"/>
      <c r="C970" s="39"/>
      <c r="D970" s="39"/>
      <c r="E970" s="39"/>
      <c r="F970" s="39"/>
      <c r="G970" s="39"/>
      <c r="H970" s="35"/>
      <c r="I970" s="88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</row>
    <row r="971" spans="1:24" ht="15.75" customHeight="1" x14ac:dyDescent="0.25">
      <c r="A971" s="39"/>
      <c r="B971" s="39"/>
      <c r="C971" s="39"/>
      <c r="D971" s="39"/>
      <c r="E971" s="39"/>
      <c r="F971" s="39"/>
      <c r="G971" s="39"/>
      <c r="H971" s="35"/>
      <c r="I971" s="88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</row>
    <row r="972" spans="1:24" ht="15.75" customHeight="1" x14ac:dyDescent="0.25">
      <c r="A972" s="39"/>
      <c r="B972" s="39"/>
      <c r="C972" s="39"/>
      <c r="D972" s="39"/>
      <c r="E972" s="39"/>
      <c r="F972" s="39"/>
      <c r="G972" s="39"/>
      <c r="H972" s="35"/>
      <c r="I972" s="88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</row>
    <row r="973" spans="1:24" ht="15.75" customHeight="1" x14ac:dyDescent="0.25">
      <c r="A973" s="39"/>
      <c r="B973" s="39"/>
      <c r="C973" s="39"/>
      <c r="D973" s="39"/>
      <c r="E973" s="39"/>
      <c r="F973" s="39"/>
      <c r="G973" s="39"/>
      <c r="H973" s="35"/>
      <c r="I973" s="88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</row>
    <row r="974" spans="1:24" ht="15.75" customHeight="1" x14ac:dyDescent="0.25">
      <c r="A974" s="39"/>
      <c r="B974" s="39"/>
      <c r="C974" s="39"/>
      <c r="D974" s="39"/>
      <c r="E974" s="39"/>
      <c r="F974" s="39"/>
      <c r="G974" s="39"/>
      <c r="H974" s="35"/>
      <c r="I974" s="88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</row>
    <row r="975" spans="1:24" ht="15.75" customHeight="1" x14ac:dyDescent="0.25">
      <c r="A975" s="39"/>
      <c r="B975" s="39"/>
      <c r="C975" s="39"/>
      <c r="D975" s="39"/>
      <c r="E975" s="39"/>
      <c r="F975" s="39"/>
      <c r="G975" s="39"/>
      <c r="H975" s="35"/>
      <c r="I975" s="88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</row>
    <row r="976" spans="1:24" ht="15.75" customHeight="1" x14ac:dyDescent="0.25">
      <c r="A976" s="39"/>
      <c r="B976" s="39"/>
      <c r="C976" s="39"/>
      <c r="D976" s="39"/>
      <c r="E976" s="39"/>
      <c r="F976" s="39"/>
      <c r="G976" s="39"/>
      <c r="H976" s="35"/>
      <c r="I976" s="88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</row>
    <row r="977" spans="1:24" ht="15.75" customHeight="1" x14ac:dyDescent="0.25">
      <c r="A977" s="39"/>
      <c r="B977" s="39"/>
      <c r="C977" s="39"/>
      <c r="D977" s="39"/>
      <c r="E977" s="39"/>
      <c r="F977" s="39"/>
      <c r="G977" s="39"/>
      <c r="H977" s="35"/>
      <c r="I977" s="88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</row>
    <row r="978" spans="1:24" ht="15.75" customHeight="1" x14ac:dyDescent="0.25">
      <c r="A978" s="39"/>
      <c r="B978" s="39"/>
      <c r="C978" s="39"/>
      <c r="D978" s="39"/>
      <c r="E978" s="39"/>
      <c r="F978" s="39"/>
      <c r="G978" s="39"/>
      <c r="H978" s="35"/>
      <c r="I978" s="88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</row>
    <row r="979" spans="1:24" ht="15.75" customHeight="1" x14ac:dyDescent="0.25">
      <c r="A979" s="39"/>
      <c r="B979" s="39"/>
      <c r="C979" s="39"/>
      <c r="D979" s="39"/>
      <c r="E979" s="39"/>
      <c r="F979" s="39"/>
      <c r="G979" s="39"/>
      <c r="H979" s="35"/>
      <c r="I979" s="88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</row>
    <row r="980" spans="1:24" ht="15.75" customHeight="1" x14ac:dyDescent="0.25">
      <c r="A980" s="39"/>
      <c r="B980" s="39"/>
      <c r="C980" s="39"/>
      <c r="D980" s="39"/>
      <c r="E980" s="39"/>
      <c r="F980" s="39"/>
      <c r="G980" s="39"/>
      <c r="H980" s="35"/>
      <c r="I980" s="88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</row>
    <row r="981" spans="1:24" ht="15.75" customHeight="1" x14ac:dyDescent="0.25">
      <c r="A981" s="39"/>
      <c r="B981" s="39"/>
      <c r="C981" s="39"/>
      <c r="D981" s="39"/>
      <c r="E981" s="39"/>
      <c r="F981" s="39"/>
      <c r="G981" s="39"/>
      <c r="H981" s="35"/>
      <c r="I981" s="88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</row>
    <row r="982" spans="1:24" ht="15.75" customHeight="1" x14ac:dyDescent="0.25">
      <c r="A982" s="39"/>
      <c r="B982" s="39"/>
      <c r="C982" s="39"/>
      <c r="D982" s="39"/>
      <c r="E982" s="39"/>
      <c r="F982" s="39"/>
      <c r="G982" s="39"/>
      <c r="H982" s="35"/>
      <c r="I982" s="88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</row>
    <row r="983" spans="1:24" ht="15.75" customHeight="1" x14ac:dyDescent="0.25">
      <c r="A983" s="39"/>
      <c r="B983" s="39"/>
      <c r="C983" s="39"/>
      <c r="D983" s="39"/>
      <c r="E983" s="39"/>
      <c r="F983" s="39"/>
      <c r="G983" s="39"/>
      <c r="H983" s="35"/>
      <c r="I983" s="88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</row>
    <row r="984" spans="1:24" ht="15.75" customHeight="1" x14ac:dyDescent="0.25">
      <c r="A984" s="39"/>
      <c r="B984" s="39"/>
      <c r="C984" s="39"/>
      <c r="D984" s="39"/>
      <c r="E984" s="39"/>
      <c r="F984" s="39"/>
      <c r="G984" s="39"/>
      <c r="H984" s="35"/>
      <c r="I984" s="88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</row>
    <row r="985" spans="1:24" ht="15.75" customHeight="1" x14ac:dyDescent="0.25">
      <c r="A985" s="39"/>
      <c r="B985" s="39"/>
      <c r="C985" s="39"/>
      <c r="D985" s="39"/>
      <c r="E985" s="39"/>
      <c r="F985" s="39"/>
      <c r="G985" s="39"/>
      <c r="H985" s="35"/>
      <c r="I985" s="88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</row>
    <row r="986" spans="1:24" ht="15.75" customHeight="1" x14ac:dyDescent="0.25">
      <c r="A986" s="39"/>
      <c r="B986" s="39"/>
      <c r="C986" s="39"/>
      <c r="D986" s="39"/>
      <c r="E986" s="39"/>
      <c r="F986" s="39"/>
      <c r="G986" s="39"/>
      <c r="H986" s="35"/>
      <c r="I986" s="88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</row>
    <row r="987" spans="1:24" ht="15.75" customHeight="1" x14ac:dyDescent="0.25">
      <c r="A987" s="39"/>
      <c r="B987" s="39"/>
      <c r="C987" s="39"/>
      <c r="D987" s="39"/>
      <c r="E987" s="39"/>
      <c r="F987" s="39"/>
      <c r="G987" s="39"/>
      <c r="H987" s="35"/>
      <c r="I987" s="88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</row>
    <row r="988" spans="1:24" ht="15.75" customHeight="1" x14ac:dyDescent="0.25">
      <c r="A988" s="39"/>
      <c r="B988" s="39"/>
      <c r="C988" s="39"/>
      <c r="D988" s="39"/>
      <c r="E988" s="39"/>
      <c r="F988" s="39"/>
      <c r="G988" s="39"/>
      <c r="H988" s="35"/>
      <c r="I988" s="88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</row>
    <row r="989" spans="1:24" ht="15.75" customHeight="1" x14ac:dyDescent="0.25">
      <c r="A989" s="39"/>
      <c r="B989" s="39"/>
      <c r="C989" s="39"/>
      <c r="D989" s="39"/>
      <c r="E989" s="39"/>
      <c r="F989" s="39"/>
      <c r="G989" s="39"/>
      <c r="H989" s="35"/>
      <c r="I989" s="88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</row>
    <row r="990" spans="1:24" ht="15.75" customHeight="1" x14ac:dyDescent="0.25">
      <c r="A990" s="39"/>
      <c r="B990" s="39"/>
      <c r="C990" s="39"/>
      <c r="D990" s="39"/>
      <c r="E990" s="39"/>
      <c r="F990" s="39"/>
      <c r="G990" s="39"/>
      <c r="H990" s="35"/>
      <c r="I990" s="88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</row>
    <row r="991" spans="1:24" ht="15.75" customHeight="1" x14ac:dyDescent="0.25">
      <c r="A991" s="39"/>
      <c r="B991" s="39"/>
      <c r="C991" s="39"/>
      <c r="D991" s="39"/>
      <c r="E991" s="39"/>
      <c r="F991" s="39"/>
      <c r="G991" s="39"/>
      <c r="H991" s="35"/>
      <c r="I991" s="88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</row>
    <row r="992" spans="1:24" ht="15.75" customHeight="1" x14ac:dyDescent="0.25">
      <c r="A992" s="39"/>
      <c r="B992" s="39"/>
      <c r="C992" s="39"/>
      <c r="D992" s="39"/>
      <c r="E992" s="39"/>
      <c r="F992" s="39"/>
      <c r="G992" s="39"/>
      <c r="H992" s="35"/>
      <c r="I992" s="88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</row>
    <row r="993" spans="1:24" ht="15.75" customHeight="1" x14ac:dyDescent="0.25">
      <c r="A993" s="39"/>
      <c r="B993" s="39"/>
      <c r="C993" s="39"/>
      <c r="D993" s="39"/>
      <c r="E993" s="39"/>
      <c r="F993" s="39"/>
      <c r="G993" s="39"/>
      <c r="H993" s="35"/>
      <c r="I993" s="88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</row>
    <row r="994" spans="1:24" ht="15.75" customHeight="1" x14ac:dyDescent="0.25">
      <c r="A994" s="39"/>
      <c r="B994" s="39"/>
      <c r="C994" s="39"/>
      <c r="D994" s="39"/>
      <c r="E994" s="39"/>
      <c r="F994" s="39"/>
      <c r="G994" s="39"/>
      <c r="H994" s="35"/>
      <c r="I994" s="88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</row>
    <row r="995" spans="1:24" ht="15.75" customHeight="1" x14ac:dyDescent="0.25">
      <c r="A995" s="39"/>
      <c r="B995" s="39"/>
      <c r="C995" s="39"/>
      <c r="D995" s="39"/>
      <c r="E995" s="39"/>
      <c r="F995" s="39"/>
      <c r="G995" s="39"/>
      <c r="H995" s="35"/>
      <c r="I995" s="88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</row>
    <row r="996" spans="1:24" ht="15.75" customHeight="1" x14ac:dyDescent="0.25">
      <c r="A996" s="39"/>
      <c r="B996" s="39"/>
      <c r="C996" s="39"/>
      <c r="D996" s="39"/>
      <c r="E996" s="39"/>
      <c r="F996" s="39"/>
      <c r="G996" s="39"/>
      <c r="H996" s="35"/>
      <c r="I996" s="88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</row>
    <row r="997" spans="1:24" ht="15.75" customHeight="1" x14ac:dyDescent="0.25">
      <c r="A997" s="39"/>
      <c r="B997" s="39"/>
      <c r="C997" s="39"/>
      <c r="D997" s="39"/>
      <c r="E997" s="39"/>
      <c r="F997" s="39"/>
      <c r="G997" s="39"/>
      <c r="H997" s="35"/>
      <c r="I997" s="88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</row>
    <row r="998" spans="1:24" ht="15.75" customHeight="1" x14ac:dyDescent="0.25">
      <c r="A998" s="39"/>
      <c r="B998" s="39"/>
      <c r="C998" s="39"/>
      <c r="D998" s="39"/>
      <c r="E998" s="39"/>
      <c r="F998" s="39"/>
      <c r="G998" s="39"/>
      <c r="H998" s="35"/>
      <c r="I998" s="88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</row>
    <row r="999" spans="1:24" ht="15.75" customHeight="1" x14ac:dyDescent="0.25">
      <c r="A999" s="39"/>
      <c r="B999" s="39"/>
      <c r="C999" s="39"/>
      <c r="D999" s="39"/>
      <c r="E999" s="39"/>
      <c r="F999" s="39"/>
      <c r="G999" s="39"/>
      <c r="H999" s="35"/>
      <c r="I999" s="88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</row>
    <row r="1000" spans="1:24" ht="15.75" customHeight="1" x14ac:dyDescent="0.25">
      <c r="A1000" s="39"/>
      <c r="B1000" s="39"/>
      <c r="C1000" s="39"/>
      <c r="D1000" s="39"/>
      <c r="E1000" s="39"/>
      <c r="F1000" s="39"/>
      <c r="G1000" s="39"/>
      <c r="H1000" s="35"/>
      <c r="I1000" s="88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</row>
    <row r="1001" spans="1:24" ht="15.75" customHeight="1" x14ac:dyDescent="0.25">
      <c r="A1001" s="39"/>
      <c r="B1001" s="39"/>
      <c r="C1001" s="39"/>
      <c r="D1001" s="39"/>
      <c r="E1001" s="39"/>
      <c r="F1001" s="39"/>
      <c r="G1001" s="39"/>
      <c r="H1001" s="35"/>
      <c r="I1001" s="88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</row>
    <row r="1002" spans="1:24" ht="15.75" customHeight="1" x14ac:dyDescent="0.25">
      <c r="A1002" s="39"/>
      <c r="B1002" s="39"/>
      <c r="C1002" s="39"/>
      <c r="D1002" s="39"/>
      <c r="E1002" s="39"/>
      <c r="F1002" s="39"/>
      <c r="G1002" s="39"/>
      <c r="H1002" s="35"/>
      <c r="I1002" s="88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</row>
    <row r="1003" spans="1:24" ht="15.75" customHeight="1" x14ac:dyDescent="0.25">
      <c r="A1003" s="39"/>
      <c r="B1003" s="39"/>
      <c r="C1003" s="39"/>
      <c r="D1003" s="39"/>
      <c r="E1003" s="39"/>
      <c r="F1003" s="39"/>
      <c r="G1003" s="39"/>
      <c r="H1003" s="35"/>
      <c r="I1003" s="88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</row>
    <row r="1004" spans="1:24" ht="15.75" customHeight="1" x14ac:dyDescent="0.25">
      <c r="A1004" s="39"/>
      <c r="B1004" s="39"/>
      <c r="C1004" s="39"/>
      <c r="D1004" s="39"/>
      <c r="E1004" s="39"/>
      <c r="F1004" s="39"/>
      <c r="G1004" s="39"/>
      <c r="H1004" s="35"/>
      <c r="I1004" s="88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</row>
    <row r="1005" spans="1:24" ht="15.75" customHeight="1" x14ac:dyDescent="0.25">
      <c r="A1005" s="39"/>
      <c r="B1005" s="39"/>
      <c r="C1005" s="39"/>
      <c r="D1005" s="39"/>
      <c r="E1005" s="39"/>
      <c r="F1005" s="39"/>
      <c r="G1005" s="39"/>
      <c r="H1005" s="35"/>
      <c r="I1005" s="88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</row>
    <row r="1006" spans="1:24" ht="15.75" customHeight="1" x14ac:dyDescent="0.25">
      <c r="A1006" s="39"/>
      <c r="B1006" s="39"/>
      <c r="C1006" s="39"/>
      <c r="D1006" s="39"/>
      <c r="E1006" s="39"/>
      <c r="F1006" s="39"/>
      <c r="G1006" s="39"/>
      <c r="H1006" s="35"/>
      <c r="I1006" s="88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</row>
    <row r="1007" spans="1:24" ht="15.75" customHeight="1" x14ac:dyDescent="0.25">
      <c r="A1007" s="39"/>
      <c r="B1007" s="39"/>
      <c r="C1007" s="39"/>
      <c r="D1007" s="39"/>
      <c r="E1007" s="39"/>
      <c r="F1007" s="39"/>
      <c r="G1007" s="39"/>
      <c r="H1007" s="35"/>
      <c r="I1007" s="88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</row>
    <row r="1008" spans="1:24" ht="15.75" customHeight="1" x14ac:dyDescent="0.25">
      <c r="A1008" s="39"/>
      <c r="B1008" s="39"/>
      <c r="C1008" s="39"/>
      <c r="D1008" s="39"/>
      <c r="E1008" s="39"/>
      <c r="F1008" s="39"/>
      <c r="G1008" s="39"/>
      <c r="H1008" s="35"/>
      <c r="I1008" s="88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</row>
    <row r="1009" spans="1:24" ht="15.75" customHeight="1" x14ac:dyDescent="0.25">
      <c r="A1009" s="39"/>
      <c r="B1009" s="39"/>
      <c r="C1009" s="39"/>
      <c r="D1009" s="39"/>
      <c r="E1009" s="39"/>
      <c r="F1009" s="39"/>
      <c r="G1009" s="39"/>
      <c r="H1009" s="35"/>
      <c r="I1009" s="88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</row>
    <row r="1010" spans="1:24" ht="15.75" customHeight="1" x14ac:dyDescent="0.25">
      <c r="A1010" s="39"/>
      <c r="B1010" s="39"/>
      <c r="C1010" s="39"/>
      <c r="D1010" s="39"/>
      <c r="E1010" s="39"/>
      <c r="F1010" s="39"/>
      <c r="G1010" s="39"/>
      <c r="H1010" s="35"/>
      <c r="I1010" s="88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</row>
    <row r="1011" spans="1:24" ht="15.75" customHeight="1" x14ac:dyDescent="0.25">
      <c r="A1011" s="39"/>
      <c r="B1011" s="39"/>
      <c r="C1011" s="39"/>
      <c r="D1011" s="39"/>
      <c r="E1011" s="39"/>
      <c r="F1011" s="39"/>
      <c r="G1011" s="39"/>
      <c r="H1011" s="35"/>
      <c r="I1011" s="88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</row>
    <row r="1012" spans="1:24" ht="15.75" customHeight="1" x14ac:dyDescent="0.25">
      <c r="A1012" s="39"/>
      <c r="B1012" s="39"/>
      <c r="C1012" s="39"/>
      <c r="D1012" s="39"/>
      <c r="E1012" s="39"/>
      <c r="F1012" s="39"/>
      <c r="G1012" s="39"/>
      <c r="H1012" s="35"/>
      <c r="I1012" s="88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</row>
    <row r="1013" spans="1:24" ht="15.75" customHeight="1" x14ac:dyDescent="0.25">
      <c r="A1013" s="39"/>
      <c r="B1013" s="39"/>
      <c r="C1013" s="39"/>
      <c r="D1013" s="39"/>
      <c r="E1013" s="39"/>
      <c r="F1013" s="39"/>
      <c r="G1013" s="39"/>
      <c r="H1013" s="35"/>
      <c r="I1013" s="88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</row>
    <row r="1014" spans="1:24" ht="15.75" customHeight="1" x14ac:dyDescent="0.25">
      <c r="A1014" s="39"/>
      <c r="B1014" s="39"/>
      <c r="C1014" s="39"/>
      <c r="D1014" s="39"/>
      <c r="E1014" s="39"/>
      <c r="F1014" s="39"/>
      <c r="G1014" s="39"/>
      <c r="H1014" s="35"/>
      <c r="I1014" s="88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</row>
    <row r="1015" spans="1:24" ht="15.75" customHeight="1" x14ac:dyDescent="0.25">
      <c r="A1015" s="39"/>
      <c r="B1015" s="39"/>
      <c r="C1015" s="39"/>
      <c r="D1015" s="39"/>
      <c r="E1015" s="39"/>
      <c r="F1015" s="39"/>
      <c r="G1015" s="39"/>
      <c r="H1015" s="35"/>
      <c r="I1015" s="88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</row>
    <row r="1016" spans="1:24" ht="15.75" customHeight="1" x14ac:dyDescent="0.25">
      <c r="A1016" s="39"/>
      <c r="B1016" s="39"/>
      <c r="C1016" s="39"/>
      <c r="D1016" s="39"/>
      <c r="E1016" s="39"/>
      <c r="F1016" s="39"/>
      <c r="G1016" s="39"/>
      <c r="H1016" s="35"/>
      <c r="I1016" s="88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</row>
    <row r="1017" spans="1:24" ht="15.75" customHeight="1" x14ac:dyDescent="0.25">
      <c r="A1017" s="39"/>
      <c r="B1017" s="39"/>
      <c r="C1017" s="39"/>
      <c r="D1017" s="39"/>
      <c r="E1017" s="39"/>
      <c r="F1017" s="39"/>
      <c r="G1017" s="39"/>
      <c r="H1017" s="35"/>
      <c r="I1017" s="88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</row>
    <row r="1018" spans="1:24" ht="15.75" customHeight="1" x14ac:dyDescent="0.25">
      <c r="A1018" s="39"/>
      <c r="B1018" s="39"/>
      <c r="C1018" s="39"/>
      <c r="D1018" s="39"/>
      <c r="E1018" s="39"/>
      <c r="F1018" s="39"/>
      <c r="G1018" s="39"/>
      <c r="H1018" s="35"/>
      <c r="I1018" s="88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</row>
    <row r="1019" spans="1:24" ht="15.75" customHeight="1" x14ac:dyDescent="0.25">
      <c r="A1019" s="39"/>
      <c r="B1019" s="39"/>
      <c r="C1019" s="39"/>
      <c r="D1019" s="39"/>
      <c r="E1019" s="39"/>
      <c r="F1019" s="39"/>
      <c r="G1019" s="39"/>
      <c r="H1019" s="35"/>
      <c r="I1019" s="88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</row>
    <row r="1020" spans="1:24" ht="15.75" customHeight="1" x14ac:dyDescent="0.25">
      <c r="A1020" s="39"/>
      <c r="B1020" s="39"/>
      <c r="C1020" s="39"/>
      <c r="D1020" s="39"/>
      <c r="E1020" s="39"/>
      <c r="F1020" s="39"/>
      <c r="G1020" s="39"/>
      <c r="H1020" s="35"/>
      <c r="I1020" s="88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</row>
    <row r="1021" spans="1:24" ht="15.75" customHeight="1" x14ac:dyDescent="0.25">
      <c r="A1021" s="39"/>
      <c r="B1021" s="39"/>
      <c r="C1021" s="39"/>
      <c r="D1021" s="39"/>
      <c r="E1021" s="39"/>
      <c r="F1021" s="39"/>
      <c r="G1021" s="39"/>
      <c r="H1021" s="35"/>
      <c r="I1021" s="88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</row>
    <row r="1022" spans="1:24" ht="15.75" customHeight="1" x14ac:dyDescent="0.25">
      <c r="A1022" s="39"/>
      <c r="B1022" s="39"/>
      <c r="C1022" s="39"/>
      <c r="D1022" s="39"/>
      <c r="E1022" s="39"/>
      <c r="F1022" s="39"/>
      <c r="G1022" s="39"/>
      <c r="H1022" s="35"/>
      <c r="I1022" s="88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</row>
    <row r="1023" spans="1:24" ht="15.75" customHeight="1" x14ac:dyDescent="0.25">
      <c r="A1023" s="39"/>
      <c r="B1023" s="39"/>
      <c r="C1023" s="39"/>
      <c r="D1023" s="39"/>
      <c r="E1023" s="39"/>
      <c r="F1023" s="39"/>
      <c r="G1023" s="39"/>
      <c r="H1023" s="35"/>
      <c r="I1023" s="88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</row>
    <row r="1024" spans="1:24" ht="15.75" customHeight="1" x14ac:dyDescent="0.25">
      <c r="A1024" s="39"/>
      <c r="B1024" s="39"/>
      <c r="C1024" s="39"/>
      <c r="D1024" s="39"/>
      <c r="E1024" s="39"/>
      <c r="F1024" s="39"/>
      <c r="G1024" s="39"/>
      <c r="H1024" s="35"/>
      <c r="I1024" s="88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</row>
    <row r="1025" spans="1:24" ht="15.75" customHeight="1" x14ac:dyDescent="0.25">
      <c r="A1025" s="39"/>
      <c r="B1025" s="39"/>
      <c r="C1025" s="39"/>
      <c r="D1025" s="39"/>
      <c r="E1025" s="39"/>
      <c r="F1025" s="39"/>
      <c r="G1025" s="39"/>
      <c r="H1025" s="35"/>
      <c r="I1025" s="88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</row>
    <row r="1026" spans="1:24" ht="15.75" customHeight="1" x14ac:dyDescent="0.25">
      <c r="A1026" s="39"/>
      <c r="B1026" s="39"/>
      <c r="C1026" s="39"/>
      <c r="D1026" s="39"/>
      <c r="E1026" s="39"/>
      <c r="F1026" s="39"/>
      <c r="G1026" s="39"/>
      <c r="H1026" s="35"/>
      <c r="I1026" s="88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  <c r="W1026" s="39"/>
      <c r="X1026" s="39"/>
    </row>
    <row r="1027" spans="1:24" ht="15.75" customHeight="1" x14ac:dyDescent="0.25">
      <c r="A1027" s="39"/>
      <c r="B1027" s="39"/>
      <c r="C1027" s="39"/>
      <c r="D1027" s="39"/>
      <c r="E1027" s="39"/>
      <c r="F1027" s="39"/>
      <c r="G1027" s="39"/>
      <c r="H1027" s="35"/>
      <c r="I1027" s="88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9"/>
      <c r="W1027" s="39"/>
      <c r="X1027" s="39"/>
    </row>
    <row r="1028" spans="1:24" ht="15.75" customHeight="1" x14ac:dyDescent="0.25">
      <c r="A1028" s="39"/>
      <c r="B1028" s="39"/>
      <c r="C1028" s="39"/>
      <c r="D1028" s="39"/>
      <c r="E1028" s="39"/>
      <c r="F1028" s="39"/>
      <c r="G1028" s="39"/>
      <c r="H1028" s="35"/>
      <c r="I1028" s="88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  <c r="V1028" s="39"/>
      <c r="W1028" s="39"/>
      <c r="X1028" s="39"/>
    </row>
    <row r="1029" spans="1:24" ht="15.75" customHeight="1" x14ac:dyDescent="0.25">
      <c r="A1029" s="39"/>
      <c r="B1029" s="39"/>
      <c r="C1029" s="39"/>
      <c r="D1029" s="39"/>
      <c r="E1029" s="39"/>
      <c r="F1029" s="39"/>
      <c r="G1029" s="39"/>
      <c r="H1029" s="35"/>
      <c r="I1029" s="88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  <c r="V1029" s="39"/>
      <c r="W1029" s="39"/>
      <c r="X1029" s="39"/>
    </row>
    <row r="1030" spans="1:24" ht="15.75" customHeight="1" x14ac:dyDescent="0.25">
      <c r="A1030" s="39"/>
      <c r="B1030" s="39"/>
      <c r="C1030" s="39"/>
      <c r="D1030" s="39"/>
      <c r="E1030" s="39"/>
      <c r="F1030" s="39"/>
      <c r="G1030" s="39"/>
      <c r="H1030" s="35"/>
      <c r="I1030" s="88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  <c r="V1030" s="39"/>
      <c r="W1030" s="39"/>
      <c r="X1030" s="39"/>
    </row>
    <row r="1031" spans="1:24" ht="15.75" customHeight="1" x14ac:dyDescent="0.25">
      <c r="A1031" s="39"/>
      <c r="B1031" s="39"/>
      <c r="C1031" s="39"/>
      <c r="D1031" s="39"/>
      <c r="E1031" s="39"/>
      <c r="F1031" s="39"/>
      <c r="G1031" s="39"/>
      <c r="H1031" s="35"/>
      <c r="I1031" s="88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  <c r="V1031" s="39"/>
      <c r="W1031" s="39"/>
      <c r="X1031" s="39"/>
    </row>
    <row r="1032" spans="1:24" ht="15.75" customHeight="1" x14ac:dyDescent="0.25">
      <c r="A1032" s="39"/>
      <c r="B1032" s="39"/>
      <c r="C1032" s="39"/>
      <c r="D1032" s="39"/>
      <c r="E1032" s="39"/>
      <c r="F1032" s="39"/>
      <c r="G1032" s="39"/>
      <c r="H1032" s="35"/>
      <c r="I1032" s="88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  <c r="V1032" s="39"/>
      <c r="W1032" s="39"/>
      <c r="X1032" s="39"/>
    </row>
    <row r="1033" spans="1:24" ht="15.75" customHeight="1" x14ac:dyDescent="0.25">
      <c r="A1033" s="39"/>
      <c r="B1033" s="39"/>
      <c r="C1033" s="39"/>
      <c r="D1033" s="39"/>
      <c r="E1033" s="39"/>
      <c r="F1033" s="39"/>
      <c r="G1033" s="39"/>
      <c r="H1033" s="35"/>
      <c r="I1033" s="88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  <c r="V1033" s="39"/>
      <c r="W1033" s="39"/>
      <c r="X1033" s="39"/>
    </row>
    <row r="1034" spans="1:24" ht="15.75" customHeight="1" x14ac:dyDescent="0.25">
      <c r="A1034" s="39"/>
      <c r="B1034" s="39"/>
      <c r="C1034" s="39"/>
      <c r="D1034" s="39"/>
      <c r="E1034" s="39"/>
      <c r="F1034" s="39"/>
      <c r="G1034" s="39"/>
      <c r="H1034" s="35"/>
      <c r="I1034" s="88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9"/>
      <c r="W1034" s="39"/>
      <c r="X1034" s="39"/>
    </row>
    <row r="1035" spans="1:24" ht="15.75" customHeight="1" x14ac:dyDescent="0.25">
      <c r="A1035" s="39"/>
      <c r="B1035" s="39"/>
      <c r="C1035" s="39"/>
      <c r="D1035" s="39"/>
      <c r="E1035" s="39"/>
      <c r="F1035" s="39"/>
      <c r="G1035" s="39"/>
      <c r="H1035" s="35"/>
      <c r="I1035" s="88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9"/>
      <c r="W1035" s="39"/>
      <c r="X1035" s="39"/>
    </row>
    <row r="1036" spans="1:24" ht="15.75" customHeight="1" x14ac:dyDescent="0.25">
      <c r="A1036" s="39"/>
      <c r="B1036" s="39"/>
      <c r="C1036" s="39"/>
      <c r="D1036" s="39"/>
      <c r="E1036" s="39"/>
      <c r="F1036" s="39"/>
      <c r="G1036" s="39"/>
      <c r="H1036" s="35"/>
      <c r="I1036" s="88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  <c r="V1036" s="39"/>
      <c r="W1036" s="39"/>
      <c r="X1036" s="39"/>
    </row>
    <row r="1037" spans="1:24" ht="15.75" customHeight="1" x14ac:dyDescent="0.25">
      <c r="A1037" s="39"/>
      <c r="B1037" s="39"/>
      <c r="C1037" s="39"/>
      <c r="D1037" s="39"/>
      <c r="E1037" s="39"/>
      <c r="F1037" s="39"/>
      <c r="G1037" s="39"/>
      <c r="H1037" s="35"/>
      <c r="I1037" s="88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  <c r="V1037" s="39"/>
      <c r="W1037" s="39"/>
      <c r="X1037" s="39"/>
    </row>
    <row r="1038" spans="1:24" ht="15.75" customHeight="1" x14ac:dyDescent="0.25">
      <c r="A1038" s="39"/>
      <c r="B1038" s="39"/>
      <c r="C1038" s="39"/>
      <c r="D1038" s="39"/>
      <c r="E1038" s="39"/>
      <c r="F1038" s="39"/>
      <c r="G1038" s="39"/>
      <c r="H1038" s="35"/>
      <c r="I1038" s="88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  <c r="V1038" s="39"/>
      <c r="W1038" s="39"/>
      <c r="X1038" s="39"/>
    </row>
    <row r="1039" spans="1:24" ht="15.75" customHeight="1" x14ac:dyDescent="0.25">
      <c r="A1039" s="39"/>
      <c r="B1039" s="39"/>
      <c r="C1039" s="39"/>
      <c r="D1039" s="39"/>
      <c r="E1039" s="39"/>
      <c r="F1039" s="39"/>
      <c r="G1039" s="39"/>
      <c r="H1039" s="35"/>
      <c r="I1039" s="88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  <c r="V1039" s="39"/>
      <c r="W1039" s="39"/>
      <c r="X1039" s="39"/>
    </row>
    <row r="1040" spans="1:24" ht="15.75" customHeight="1" x14ac:dyDescent="0.25">
      <c r="A1040" s="39"/>
      <c r="B1040" s="39"/>
      <c r="C1040" s="39"/>
      <c r="D1040" s="39"/>
      <c r="E1040" s="39"/>
      <c r="F1040" s="39"/>
      <c r="G1040" s="39"/>
      <c r="H1040" s="35"/>
      <c r="I1040" s="88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  <c r="V1040" s="39"/>
      <c r="W1040" s="39"/>
      <c r="X1040" s="39"/>
    </row>
    <row r="1041" spans="1:24" ht="15.75" customHeight="1" x14ac:dyDescent="0.25">
      <c r="A1041" s="39"/>
      <c r="B1041" s="39"/>
      <c r="C1041" s="39"/>
      <c r="D1041" s="39"/>
      <c r="E1041" s="39"/>
      <c r="F1041" s="39"/>
      <c r="G1041" s="39"/>
      <c r="H1041" s="35"/>
      <c r="I1041" s="88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  <c r="W1041" s="39"/>
      <c r="X1041" s="39"/>
    </row>
    <row r="1042" spans="1:24" ht="15.75" customHeight="1" x14ac:dyDescent="0.25">
      <c r="A1042" s="39"/>
      <c r="B1042" s="39"/>
      <c r="C1042" s="39"/>
      <c r="D1042" s="39"/>
      <c r="E1042" s="39"/>
      <c r="F1042" s="39"/>
      <c r="G1042" s="39"/>
      <c r="H1042" s="35"/>
      <c r="I1042" s="88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  <c r="V1042" s="39"/>
      <c r="W1042" s="39"/>
      <c r="X1042" s="39"/>
    </row>
    <row r="1043" spans="1:24" ht="15.75" customHeight="1" x14ac:dyDescent="0.25">
      <c r="A1043" s="39"/>
      <c r="B1043" s="39"/>
      <c r="C1043" s="39"/>
      <c r="D1043" s="39"/>
      <c r="E1043" s="39"/>
      <c r="F1043" s="39"/>
      <c r="G1043" s="39"/>
      <c r="H1043" s="35"/>
      <c r="I1043" s="88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  <c r="V1043" s="39"/>
      <c r="W1043" s="39"/>
      <c r="X1043" s="39"/>
    </row>
    <row r="1044" spans="1:24" ht="15.75" customHeight="1" x14ac:dyDescent="0.25">
      <c r="A1044" s="39"/>
      <c r="B1044" s="39"/>
      <c r="C1044" s="39"/>
      <c r="D1044" s="39"/>
      <c r="E1044" s="39"/>
      <c r="F1044" s="39"/>
      <c r="G1044" s="39"/>
      <c r="H1044" s="35"/>
      <c r="I1044" s="88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9"/>
      <c r="W1044" s="39"/>
      <c r="X1044" s="39"/>
    </row>
    <row r="1045" spans="1:24" ht="15.75" customHeight="1" x14ac:dyDescent="0.25">
      <c r="A1045" s="39"/>
      <c r="B1045" s="39"/>
      <c r="C1045" s="39"/>
      <c r="D1045" s="39"/>
      <c r="E1045" s="39"/>
      <c r="F1045" s="39"/>
      <c r="G1045" s="39"/>
      <c r="H1045" s="35"/>
      <c r="I1045" s="88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9"/>
      <c r="W1045" s="39"/>
      <c r="X1045" s="39"/>
    </row>
    <row r="1046" spans="1:24" ht="15.75" customHeight="1" x14ac:dyDescent="0.25">
      <c r="A1046" s="39"/>
      <c r="B1046" s="39"/>
      <c r="C1046" s="39"/>
      <c r="D1046" s="39"/>
      <c r="E1046" s="39"/>
      <c r="F1046" s="39"/>
      <c r="G1046" s="39"/>
      <c r="H1046" s="35"/>
      <c r="I1046" s="88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9"/>
      <c r="W1046" s="39"/>
      <c r="X1046" s="39"/>
    </row>
    <row r="1047" spans="1:24" ht="15.75" customHeight="1" x14ac:dyDescent="0.25">
      <c r="A1047" s="39"/>
      <c r="B1047" s="39"/>
      <c r="C1047" s="39"/>
      <c r="D1047" s="39"/>
      <c r="E1047" s="39"/>
      <c r="F1047" s="39"/>
      <c r="G1047" s="39"/>
      <c r="H1047" s="35"/>
      <c r="I1047" s="88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9"/>
      <c r="W1047" s="39"/>
      <c r="X1047" s="39"/>
    </row>
    <row r="1048" spans="1:24" ht="15.75" customHeight="1" x14ac:dyDescent="0.25">
      <c r="A1048" s="39"/>
      <c r="B1048" s="39"/>
      <c r="C1048" s="39"/>
      <c r="D1048" s="39"/>
      <c r="E1048" s="39"/>
      <c r="F1048" s="39"/>
      <c r="G1048" s="39"/>
      <c r="H1048" s="35"/>
      <c r="I1048" s="88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9"/>
      <c r="W1048" s="39"/>
      <c r="X1048" s="39"/>
    </row>
    <row r="1049" spans="1:24" ht="15.75" customHeight="1" x14ac:dyDescent="0.25">
      <c r="A1049" s="39"/>
      <c r="B1049" s="39"/>
      <c r="C1049" s="39"/>
      <c r="D1049" s="39"/>
      <c r="E1049" s="39"/>
      <c r="F1049" s="39"/>
      <c r="G1049" s="39"/>
      <c r="H1049" s="35"/>
      <c r="I1049" s="88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  <c r="W1049" s="39"/>
      <c r="X1049" s="39"/>
    </row>
    <row r="1050" spans="1:24" ht="15.75" customHeight="1" x14ac:dyDescent="0.25">
      <c r="A1050" s="39"/>
      <c r="B1050" s="39"/>
      <c r="C1050" s="39"/>
      <c r="D1050" s="39"/>
      <c r="E1050" s="39"/>
      <c r="F1050" s="39"/>
      <c r="G1050" s="39"/>
      <c r="H1050" s="35"/>
      <c r="I1050" s="88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  <c r="V1050" s="39"/>
      <c r="W1050" s="39"/>
      <c r="X1050" s="39"/>
    </row>
    <row r="1051" spans="1:24" ht="15.75" customHeight="1" x14ac:dyDescent="0.25">
      <c r="A1051" s="39"/>
      <c r="B1051" s="39"/>
      <c r="C1051" s="39"/>
      <c r="D1051" s="39"/>
      <c r="E1051" s="39"/>
      <c r="F1051" s="39"/>
      <c r="G1051" s="39"/>
      <c r="H1051" s="35"/>
      <c r="I1051" s="88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  <c r="W1051" s="39"/>
      <c r="X1051" s="39"/>
    </row>
    <row r="1052" spans="1:24" ht="15.75" customHeight="1" x14ac:dyDescent="0.25">
      <c r="A1052" s="39"/>
      <c r="B1052" s="39"/>
      <c r="C1052" s="39"/>
      <c r="D1052" s="39"/>
      <c r="E1052" s="39"/>
      <c r="F1052" s="39"/>
      <c r="G1052" s="39"/>
      <c r="H1052" s="35"/>
      <c r="I1052" s="88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  <c r="V1052" s="39"/>
      <c r="W1052" s="39"/>
      <c r="X1052" s="39"/>
    </row>
    <row r="1053" spans="1:24" ht="15.75" customHeight="1" x14ac:dyDescent="0.25">
      <c r="A1053" s="39"/>
      <c r="B1053" s="39"/>
      <c r="C1053" s="39"/>
      <c r="D1053" s="39"/>
      <c r="E1053" s="39"/>
      <c r="F1053" s="39"/>
      <c r="G1053" s="39"/>
      <c r="H1053" s="35"/>
      <c r="I1053" s="88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9"/>
      <c r="W1053" s="39"/>
      <c r="X1053" s="39"/>
    </row>
    <row r="1054" spans="1:24" ht="15.75" customHeight="1" x14ac:dyDescent="0.25">
      <c r="A1054" s="39"/>
      <c r="B1054" s="39"/>
      <c r="C1054" s="39"/>
      <c r="D1054" s="39"/>
      <c r="E1054" s="39"/>
      <c r="F1054" s="39"/>
      <c r="G1054" s="39"/>
      <c r="H1054" s="35"/>
      <c r="I1054" s="88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  <c r="V1054" s="39"/>
      <c r="W1054" s="39"/>
      <c r="X1054" s="39"/>
    </row>
    <row r="1055" spans="1:24" ht="15.75" customHeight="1" x14ac:dyDescent="0.25">
      <c r="A1055" s="39"/>
      <c r="B1055" s="39"/>
      <c r="C1055" s="39"/>
      <c r="D1055" s="39"/>
      <c r="E1055" s="39"/>
      <c r="F1055" s="39"/>
      <c r="G1055" s="39"/>
      <c r="H1055" s="35"/>
      <c r="I1055" s="88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9"/>
      <c r="W1055" s="39"/>
      <c r="X1055" s="39"/>
    </row>
    <row r="1056" spans="1:24" ht="15.75" customHeight="1" x14ac:dyDescent="0.25">
      <c r="A1056" s="39"/>
      <c r="B1056" s="39"/>
      <c r="C1056" s="39"/>
      <c r="D1056" s="39"/>
      <c r="E1056" s="39"/>
      <c r="F1056" s="39"/>
      <c r="G1056" s="39"/>
      <c r="H1056" s="35"/>
      <c r="I1056" s="88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9"/>
      <c r="W1056" s="39"/>
      <c r="X1056" s="39"/>
    </row>
    <row r="1057" spans="1:24" ht="15.75" customHeight="1" x14ac:dyDescent="0.25">
      <c r="A1057" s="39"/>
      <c r="B1057" s="39"/>
      <c r="C1057" s="39"/>
      <c r="D1057" s="39"/>
      <c r="E1057" s="39"/>
      <c r="F1057" s="39"/>
      <c r="G1057" s="39"/>
      <c r="H1057" s="35"/>
      <c r="I1057" s="88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  <c r="W1057" s="39"/>
      <c r="X1057" s="39"/>
    </row>
    <row r="1058" spans="1:24" ht="15.75" customHeight="1" x14ac:dyDescent="0.25">
      <c r="A1058" s="39"/>
      <c r="B1058" s="39"/>
      <c r="C1058" s="39"/>
      <c r="D1058" s="39"/>
      <c r="E1058" s="39"/>
      <c r="F1058" s="39"/>
      <c r="G1058" s="39"/>
      <c r="H1058" s="35"/>
      <c r="I1058" s="88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9"/>
      <c r="W1058" s="39"/>
      <c r="X1058" s="39"/>
    </row>
    <row r="1059" spans="1:24" ht="15.75" customHeight="1" x14ac:dyDescent="0.25">
      <c r="A1059" s="39"/>
      <c r="B1059" s="39"/>
      <c r="C1059" s="39"/>
      <c r="D1059" s="39"/>
      <c r="E1059" s="39"/>
      <c r="F1059" s="39"/>
      <c r="G1059" s="39"/>
      <c r="H1059" s="35"/>
      <c r="I1059" s="88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</row>
    <row r="1060" spans="1:24" ht="15.75" customHeight="1" x14ac:dyDescent="0.25">
      <c r="A1060" s="39"/>
      <c r="B1060" s="39"/>
      <c r="C1060" s="39"/>
      <c r="D1060" s="39"/>
      <c r="E1060" s="39"/>
      <c r="F1060" s="39"/>
      <c r="G1060" s="39"/>
      <c r="H1060" s="35"/>
      <c r="I1060" s="88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  <c r="V1060" s="39"/>
      <c r="W1060" s="39"/>
      <c r="X1060" s="39"/>
    </row>
    <row r="1061" spans="1:24" ht="15.75" customHeight="1" x14ac:dyDescent="0.25">
      <c r="A1061" s="39"/>
      <c r="B1061" s="39"/>
      <c r="C1061" s="39"/>
      <c r="D1061" s="39"/>
      <c r="E1061" s="39"/>
      <c r="F1061" s="39"/>
      <c r="G1061" s="39"/>
      <c r="H1061" s="35"/>
      <c r="I1061" s="88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9"/>
      <c r="W1061" s="39"/>
      <c r="X1061" s="39"/>
    </row>
    <row r="1062" spans="1:24" ht="15.75" customHeight="1" x14ac:dyDescent="0.25">
      <c r="A1062" s="39"/>
      <c r="B1062" s="39"/>
      <c r="C1062" s="39"/>
      <c r="D1062" s="39"/>
      <c r="E1062" s="39"/>
      <c r="F1062" s="39"/>
      <c r="G1062" s="39"/>
      <c r="H1062" s="35"/>
      <c r="I1062" s="88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  <c r="V1062" s="39"/>
      <c r="W1062" s="39"/>
      <c r="X1062" s="39"/>
    </row>
    <row r="1063" spans="1:24" ht="15.75" customHeight="1" x14ac:dyDescent="0.25">
      <c r="A1063" s="39"/>
      <c r="B1063" s="39"/>
      <c r="C1063" s="39"/>
      <c r="D1063" s="39"/>
      <c r="E1063" s="39"/>
      <c r="F1063" s="39"/>
      <c r="G1063" s="39"/>
      <c r="H1063" s="35"/>
      <c r="I1063" s="88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9"/>
      <c r="W1063" s="39"/>
      <c r="X1063" s="39"/>
    </row>
    <row r="1064" spans="1:24" ht="15.75" customHeight="1" x14ac:dyDescent="0.25">
      <c r="A1064" s="39"/>
      <c r="B1064" s="39"/>
      <c r="C1064" s="39"/>
      <c r="D1064" s="39"/>
      <c r="E1064" s="39"/>
      <c r="F1064" s="39"/>
      <c r="G1064" s="39"/>
      <c r="H1064" s="35"/>
      <c r="I1064" s="88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  <c r="V1064" s="39"/>
      <c r="W1064" s="39"/>
      <c r="X1064" s="39"/>
    </row>
    <row r="1065" spans="1:24" ht="15.75" customHeight="1" x14ac:dyDescent="0.25">
      <c r="A1065" s="39"/>
      <c r="B1065" s="39"/>
      <c r="C1065" s="39"/>
      <c r="D1065" s="39"/>
      <c r="E1065" s="39"/>
      <c r="F1065" s="39"/>
      <c r="G1065" s="39"/>
      <c r="H1065" s="35"/>
      <c r="I1065" s="88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  <c r="W1065" s="39"/>
      <c r="X1065" s="39"/>
    </row>
    <row r="1066" spans="1:24" ht="15.75" customHeight="1" x14ac:dyDescent="0.25">
      <c r="A1066" s="39"/>
      <c r="B1066" s="39"/>
      <c r="C1066" s="39"/>
      <c r="D1066" s="39"/>
      <c r="E1066" s="39"/>
      <c r="F1066" s="39"/>
      <c r="G1066" s="39"/>
      <c r="H1066" s="35"/>
      <c r="I1066" s="88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9"/>
      <c r="W1066" s="39"/>
      <c r="X1066" s="39"/>
    </row>
    <row r="1067" spans="1:24" ht="15.75" customHeight="1" x14ac:dyDescent="0.25">
      <c r="A1067" s="39"/>
      <c r="B1067" s="39"/>
      <c r="C1067" s="39"/>
      <c r="D1067" s="39"/>
      <c r="E1067" s="39"/>
      <c r="F1067" s="39"/>
      <c r="G1067" s="39"/>
      <c r="H1067" s="35"/>
      <c r="I1067" s="88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  <c r="W1067" s="39"/>
      <c r="X1067" s="39"/>
    </row>
    <row r="1068" spans="1:24" ht="15.75" customHeight="1" x14ac:dyDescent="0.25">
      <c r="A1068" s="39"/>
      <c r="B1068" s="39"/>
      <c r="C1068" s="39"/>
      <c r="D1068" s="39"/>
      <c r="E1068" s="39"/>
      <c r="F1068" s="39"/>
      <c r="G1068" s="39"/>
      <c r="H1068" s="35"/>
      <c r="I1068" s="88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9"/>
      <c r="W1068" s="39"/>
      <c r="X1068" s="39"/>
    </row>
    <row r="1069" spans="1:24" ht="15.75" customHeight="1" x14ac:dyDescent="0.25">
      <c r="A1069" s="39"/>
      <c r="B1069" s="39"/>
      <c r="C1069" s="39"/>
      <c r="D1069" s="39"/>
      <c r="E1069" s="39"/>
      <c r="F1069" s="39"/>
      <c r="G1069" s="39"/>
      <c r="H1069" s="35"/>
      <c r="I1069" s="88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  <c r="W1069" s="39"/>
      <c r="X1069" s="39"/>
    </row>
    <row r="1070" spans="1:24" ht="15.75" customHeight="1" x14ac:dyDescent="0.25">
      <c r="A1070" s="39"/>
      <c r="B1070" s="39"/>
      <c r="C1070" s="39"/>
      <c r="D1070" s="39"/>
      <c r="E1070" s="39"/>
      <c r="F1070" s="39"/>
      <c r="G1070" s="39"/>
      <c r="H1070" s="35"/>
      <c r="I1070" s="88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  <c r="W1070" s="39"/>
      <c r="X1070" s="39"/>
    </row>
    <row r="1071" spans="1:24" ht="15.75" customHeight="1" x14ac:dyDescent="0.25">
      <c r="A1071" s="39"/>
      <c r="B1071" s="39"/>
      <c r="C1071" s="39"/>
      <c r="D1071" s="39"/>
      <c r="E1071" s="39"/>
      <c r="F1071" s="39"/>
      <c r="G1071" s="39"/>
      <c r="H1071" s="35"/>
      <c r="I1071" s="88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9"/>
      <c r="W1071" s="39"/>
      <c r="X1071" s="39"/>
    </row>
    <row r="1072" spans="1:24" ht="15.75" customHeight="1" x14ac:dyDescent="0.25">
      <c r="A1072" s="39"/>
      <c r="B1072" s="39"/>
      <c r="C1072" s="39"/>
      <c r="D1072" s="39"/>
      <c r="E1072" s="39"/>
      <c r="F1072" s="39"/>
      <c r="G1072" s="39"/>
      <c r="H1072" s="35"/>
      <c r="I1072" s="88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39"/>
      <c r="V1072" s="39"/>
      <c r="W1072" s="39"/>
      <c r="X1072" s="39"/>
    </row>
    <row r="1073" spans="1:24" ht="15.75" customHeight="1" x14ac:dyDescent="0.25">
      <c r="A1073" s="39"/>
      <c r="B1073" s="39"/>
      <c r="C1073" s="39"/>
      <c r="D1073" s="39"/>
      <c r="E1073" s="39"/>
      <c r="F1073" s="39"/>
      <c r="G1073" s="39"/>
      <c r="H1073" s="35"/>
      <c r="I1073" s="88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39"/>
      <c r="V1073" s="39"/>
      <c r="W1073" s="39"/>
      <c r="X1073" s="39"/>
    </row>
    <row r="1074" spans="1:24" ht="15.75" customHeight="1" x14ac:dyDescent="0.25">
      <c r="A1074" s="39"/>
      <c r="B1074" s="39"/>
      <c r="C1074" s="39"/>
      <c r="D1074" s="39"/>
      <c r="E1074" s="39"/>
      <c r="F1074" s="39"/>
      <c r="G1074" s="39"/>
      <c r="H1074" s="35"/>
      <c r="I1074" s="88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39"/>
      <c r="V1074" s="39"/>
      <c r="W1074" s="39"/>
      <c r="X1074" s="39"/>
    </row>
    <row r="1075" spans="1:24" ht="15.75" customHeight="1" x14ac:dyDescent="0.25">
      <c r="A1075" s="39"/>
      <c r="B1075" s="39"/>
      <c r="C1075" s="39"/>
      <c r="D1075" s="39"/>
      <c r="E1075" s="39"/>
      <c r="F1075" s="39"/>
      <c r="G1075" s="39"/>
      <c r="H1075" s="35"/>
      <c r="I1075" s="88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39"/>
      <c r="V1075" s="39"/>
      <c r="W1075" s="39"/>
      <c r="X1075" s="39"/>
    </row>
    <row r="1076" spans="1:24" ht="15.75" customHeight="1" x14ac:dyDescent="0.25">
      <c r="A1076" s="39"/>
      <c r="B1076" s="39"/>
      <c r="C1076" s="39"/>
      <c r="D1076" s="39"/>
      <c r="E1076" s="39"/>
      <c r="F1076" s="39"/>
      <c r="G1076" s="39"/>
      <c r="H1076" s="35"/>
      <c r="I1076" s="88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  <c r="V1076" s="39"/>
      <c r="W1076" s="39"/>
      <c r="X1076" s="39"/>
    </row>
    <row r="1077" spans="1:24" ht="15.75" customHeight="1" x14ac:dyDescent="0.25">
      <c r="A1077" s="39"/>
      <c r="B1077" s="39"/>
      <c r="C1077" s="39"/>
      <c r="D1077" s="39"/>
      <c r="E1077" s="39"/>
      <c r="F1077" s="39"/>
      <c r="G1077" s="39"/>
      <c r="H1077" s="35"/>
      <c r="I1077" s="88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9"/>
      <c r="W1077" s="39"/>
      <c r="X1077" s="39"/>
    </row>
    <row r="1078" spans="1:24" ht="15.75" customHeight="1" x14ac:dyDescent="0.25">
      <c r="A1078" s="39"/>
      <c r="B1078" s="39"/>
      <c r="C1078" s="39"/>
      <c r="D1078" s="39"/>
      <c r="E1078" s="39"/>
      <c r="F1078" s="39"/>
      <c r="G1078" s="39"/>
      <c r="H1078" s="35"/>
      <c r="I1078" s="88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9"/>
      <c r="W1078" s="39"/>
      <c r="X1078" s="39"/>
    </row>
    <row r="1079" spans="1:24" ht="15.75" customHeight="1" x14ac:dyDescent="0.25">
      <c r="A1079" s="39"/>
      <c r="B1079" s="39"/>
      <c r="C1079" s="39"/>
      <c r="D1079" s="39"/>
      <c r="E1079" s="39"/>
      <c r="F1079" s="39"/>
      <c r="G1079" s="39"/>
      <c r="H1079" s="35"/>
      <c r="I1079" s="88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39"/>
      <c r="V1079" s="39"/>
      <c r="W1079" s="39"/>
      <c r="X1079" s="39"/>
    </row>
    <row r="1080" spans="1:24" ht="15.75" customHeight="1" x14ac:dyDescent="0.25">
      <c r="A1080" s="39"/>
      <c r="B1080" s="39"/>
      <c r="C1080" s="39"/>
      <c r="D1080" s="39"/>
      <c r="E1080" s="39"/>
      <c r="F1080" s="39"/>
      <c r="G1080" s="39"/>
      <c r="H1080" s="35"/>
      <c r="I1080" s="88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39"/>
      <c r="V1080" s="39"/>
      <c r="W1080" s="39"/>
      <c r="X1080" s="39"/>
    </row>
    <row r="1081" spans="1:24" ht="15.75" customHeight="1" x14ac:dyDescent="0.25">
      <c r="A1081" s="39"/>
      <c r="B1081" s="39"/>
      <c r="C1081" s="39"/>
      <c r="D1081" s="39"/>
      <c r="E1081" s="39"/>
      <c r="F1081" s="39"/>
      <c r="G1081" s="39"/>
      <c r="H1081" s="35"/>
      <c r="I1081" s="88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39"/>
      <c r="V1081" s="39"/>
      <c r="W1081" s="39"/>
      <c r="X1081" s="39"/>
    </row>
    <row r="1082" spans="1:24" ht="15.75" customHeight="1" x14ac:dyDescent="0.25">
      <c r="A1082" s="39"/>
      <c r="B1082" s="39"/>
      <c r="C1082" s="39"/>
      <c r="D1082" s="39"/>
      <c r="E1082" s="39"/>
      <c r="F1082" s="39"/>
      <c r="G1082" s="39"/>
      <c r="H1082" s="35"/>
      <c r="I1082" s="88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39"/>
      <c r="V1082" s="39"/>
      <c r="W1082" s="39"/>
      <c r="X1082" s="39"/>
    </row>
    <row r="1083" spans="1:24" ht="15.75" customHeight="1" x14ac:dyDescent="0.25">
      <c r="A1083" s="39"/>
      <c r="B1083" s="39"/>
      <c r="C1083" s="39"/>
      <c r="D1083" s="39"/>
      <c r="E1083" s="39"/>
      <c r="F1083" s="39"/>
      <c r="G1083" s="39"/>
      <c r="H1083" s="35"/>
      <c r="I1083" s="88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39"/>
      <c r="V1083" s="39"/>
      <c r="W1083" s="39"/>
      <c r="X1083" s="39"/>
    </row>
    <row r="1084" spans="1:24" ht="15.75" customHeight="1" x14ac:dyDescent="0.25">
      <c r="A1084" s="39"/>
      <c r="B1084" s="39"/>
      <c r="C1084" s="39"/>
      <c r="D1084" s="39"/>
      <c r="E1084" s="39"/>
      <c r="F1084" s="39"/>
      <c r="G1084" s="39"/>
      <c r="H1084" s="35"/>
      <c r="I1084" s="88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39"/>
      <c r="V1084" s="39"/>
      <c r="W1084" s="39"/>
      <c r="X1084" s="39"/>
    </row>
    <row r="1085" spans="1:24" ht="15.75" customHeight="1" x14ac:dyDescent="0.25">
      <c r="A1085" s="39"/>
      <c r="B1085" s="39"/>
      <c r="C1085" s="39"/>
      <c r="D1085" s="39"/>
      <c r="E1085" s="39"/>
      <c r="F1085" s="39"/>
      <c r="G1085" s="39"/>
      <c r="H1085" s="35"/>
      <c r="I1085" s="88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39"/>
      <c r="V1085" s="39"/>
      <c r="W1085" s="39"/>
      <c r="X1085" s="39"/>
    </row>
    <row r="1086" spans="1:24" ht="15.75" customHeight="1" x14ac:dyDescent="0.25">
      <c r="A1086" s="39"/>
      <c r="B1086" s="39"/>
      <c r="C1086" s="39"/>
      <c r="D1086" s="39"/>
      <c r="E1086" s="39"/>
      <c r="F1086" s="39"/>
      <c r="G1086" s="39"/>
      <c r="H1086" s="35"/>
      <c r="I1086" s="88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39"/>
      <c r="V1086" s="39"/>
      <c r="W1086" s="39"/>
      <c r="X1086" s="39"/>
    </row>
    <row r="1087" spans="1:24" ht="15.75" customHeight="1" x14ac:dyDescent="0.25">
      <c r="A1087" s="39"/>
      <c r="B1087" s="39"/>
      <c r="C1087" s="39"/>
      <c r="D1087" s="39"/>
      <c r="E1087" s="39"/>
      <c r="F1087" s="39"/>
      <c r="G1087" s="39"/>
      <c r="H1087" s="35"/>
      <c r="I1087" s="88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39"/>
      <c r="V1087" s="39"/>
      <c r="W1087" s="39"/>
      <c r="X1087" s="39"/>
    </row>
    <row r="1088" spans="1:24" ht="15.75" customHeight="1" x14ac:dyDescent="0.25">
      <c r="A1088" s="39"/>
      <c r="B1088" s="39"/>
      <c r="C1088" s="39"/>
      <c r="D1088" s="39"/>
      <c r="E1088" s="39"/>
      <c r="F1088" s="39"/>
      <c r="G1088" s="39"/>
      <c r="H1088" s="35"/>
      <c r="I1088" s="88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U1088" s="39"/>
      <c r="V1088" s="39"/>
      <c r="W1088" s="39"/>
      <c r="X1088" s="39"/>
    </row>
    <row r="1089" spans="1:24" ht="15.75" customHeight="1" x14ac:dyDescent="0.25">
      <c r="A1089" s="39"/>
      <c r="B1089" s="39"/>
      <c r="C1089" s="39"/>
      <c r="D1089" s="39"/>
      <c r="E1089" s="39"/>
      <c r="F1089" s="39"/>
      <c r="G1089" s="39"/>
      <c r="H1089" s="35"/>
      <c r="I1089" s="88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U1089" s="39"/>
      <c r="V1089" s="39"/>
      <c r="W1089" s="39"/>
      <c r="X1089" s="39"/>
    </row>
    <row r="1090" spans="1:24" ht="15.75" customHeight="1" x14ac:dyDescent="0.25">
      <c r="A1090" s="39"/>
      <c r="B1090" s="39"/>
      <c r="C1090" s="39"/>
      <c r="D1090" s="39"/>
      <c r="E1090" s="39"/>
      <c r="F1090" s="39"/>
      <c r="G1090" s="39"/>
      <c r="H1090" s="35"/>
      <c r="I1090" s="88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U1090" s="39"/>
      <c r="V1090" s="39"/>
      <c r="W1090" s="39"/>
      <c r="X1090" s="39"/>
    </row>
    <row r="1091" spans="1:24" ht="15.75" customHeight="1" x14ac:dyDescent="0.25">
      <c r="A1091" s="39"/>
      <c r="B1091" s="39"/>
      <c r="C1091" s="39"/>
      <c r="D1091" s="39"/>
      <c r="E1091" s="39"/>
      <c r="F1091" s="39"/>
      <c r="G1091" s="39"/>
      <c r="H1091" s="35"/>
      <c r="I1091" s="88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U1091" s="39"/>
      <c r="V1091" s="39"/>
      <c r="W1091" s="39"/>
      <c r="X1091" s="39"/>
    </row>
    <row r="1092" spans="1:24" ht="15.75" customHeight="1" x14ac:dyDescent="0.25">
      <c r="A1092" s="39"/>
      <c r="B1092" s="39"/>
      <c r="C1092" s="39"/>
      <c r="D1092" s="39"/>
      <c r="E1092" s="39"/>
      <c r="F1092" s="39"/>
      <c r="G1092" s="39"/>
      <c r="H1092" s="35"/>
      <c r="I1092" s="88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U1092" s="39"/>
      <c r="V1092" s="39"/>
      <c r="W1092" s="39"/>
      <c r="X1092" s="39"/>
    </row>
    <row r="1093" spans="1:24" ht="15.75" customHeight="1" x14ac:dyDescent="0.25">
      <c r="A1093" s="39"/>
      <c r="B1093" s="39"/>
      <c r="C1093" s="39"/>
      <c r="D1093" s="39"/>
      <c r="E1093" s="39"/>
      <c r="F1093" s="39"/>
      <c r="G1093" s="39"/>
      <c r="H1093" s="35"/>
      <c r="I1093" s="88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U1093" s="39"/>
      <c r="V1093" s="39"/>
      <c r="W1093" s="39"/>
      <c r="X1093" s="39"/>
    </row>
    <row r="1094" spans="1:24" ht="15.75" customHeight="1" x14ac:dyDescent="0.25">
      <c r="A1094" s="39"/>
      <c r="B1094" s="39"/>
      <c r="C1094" s="39"/>
      <c r="D1094" s="39"/>
      <c r="E1094" s="39"/>
      <c r="F1094" s="39"/>
      <c r="G1094" s="39"/>
      <c r="H1094" s="35"/>
      <c r="I1094" s="88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U1094" s="39"/>
      <c r="V1094" s="39"/>
      <c r="W1094" s="39"/>
      <c r="X1094" s="39"/>
    </row>
    <row r="1095" spans="1:24" ht="15.75" customHeight="1" x14ac:dyDescent="0.25">
      <c r="A1095" s="39"/>
      <c r="B1095" s="39"/>
      <c r="C1095" s="39"/>
      <c r="D1095" s="39"/>
      <c r="E1095" s="39"/>
      <c r="F1095" s="39"/>
      <c r="G1095" s="39"/>
      <c r="H1095" s="35"/>
      <c r="I1095" s="88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39"/>
      <c r="V1095" s="39"/>
      <c r="W1095" s="39"/>
      <c r="X1095" s="39"/>
    </row>
    <row r="1096" spans="1:24" ht="15.75" customHeight="1" x14ac:dyDescent="0.25">
      <c r="A1096" s="39"/>
      <c r="B1096" s="39"/>
      <c r="C1096" s="39"/>
      <c r="D1096" s="39"/>
      <c r="E1096" s="39"/>
      <c r="F1096" s="39"/>
      <c r="G1096" s="39"/>
      <c r="H1096" s="35"/>
      <c r="I1096" s="88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U1096" s="39"/>
      <c r="V1096" s="39"/>
      <c r="W1096" s="39"/>
      <c r="X1096" s="39"/>
    </row>
    <row r="1097" spans="1:24" ht="15.75" customHeight="1" x14ac:dyDescent="0.25">
      <c r="A1097" s="39"/>
      <c r="B1097" s="39"/>
      <c r="C1097" s="39"/>
      <c r="D1097" s="39"/>
      <c r="E1097" s="39"/>
      <c r="F1097" s="39"/>
      <c r="G1097" s="39"/>
      <c r="H1097" s="35"/>
      <c r="I1097" s="88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U1097" s="39"/>
      <c r="V1097" s="39"/>
      <c r="W1097" s="39"/>
      <c r="X1097" s="39"/>
    </row>
    <row r="1098" spans="1:24" ht="15.75" customHeight="1" x14ac:dyDescent="0.25">
      <c r="A1098" s="39"/>
      <c r="B1098" s="39"/>
      <c r="C1098" s="39"/>
      <c r="D1098" s="39"/>
      <c r="E1098" s="39"/>
      <c r="F1098" s="39"/>
      <c r="G1098" s="39"/>
      <c r="H1098" s="35"/>
      <c r="I1098" s="88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U1098" s="39"/>
      <c r="V1098" s="39"/>
      <c r="W1098" s="39"/>
      <c r="X1098" s="39"/>
    </row>
    <row r="1099" spans="1:24" ht="15.75" customHeight="1" x14ac:dyDescent="0.25">
      <c r="A1099" s="39"/>
      <c r="B1099" s="39"/>
      <c r="C1099" s="39"/>
      <c r="D1099" s="39"/>
      <c r="E1099" s="39"/>
      <c r="F1099" s="39"/>
      <c r="G1099" s="39"/>
      <c r="H1099" s="35"/>
      <c r="I1099" s="88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  <c r="T1099" s="39"/>
      <c r="U1099" s="39"/>
      <c r="V1099" s="39"/>
      <c r="W1099" s="39"/>
      <c r="X1099" s="39"/>
    </row>
    <row r="1100" spans="1:24" ht="15.75" customHeight="1" x14ac:dyDescent="0.25">
      <c r="A1100" s="39"/>
      <c r="B1100" s="39"/>
      <c r="C1100" s="39"/>
      <c r="D1100" s="39"/>
      <c r="E1100" s="39"/>
      <c r="F1100" s="39"/>
      <c r="G1100" s="39"/>
      <c r="H1100" s="35"/>
      <c r="I1100" s="88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  <c r="T1100" s="39"/>
      <c r="U1100" s="39"/>
      <c r="V1100" s="39"/>
      <c r="W1100" s="39"/>
      <c r="X1100" s="39"/>
    </row>
    <row r="1101" spans="1:24" ht="15.75" customHeight="1" x14ac:dyDescent="0.25">
      <c r="A1101" s="39"/>
      <c r="B1101" s="39"/>
      <c r="C1101" s="39"/>
      <c r="D1101" s="39"/>
      <c r="E1101" s="39"/>
      <c r="F1101" s="39"/>
      <c r="G1101" s="39"/>
      <c r="H1101" s="35"/>
      <c r="I1101" s="88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  <c r="T1101" s="39"/>
      <c r="U1101" s="39"/>
      <c r="V1101" s="39"/>
      <c r="W1101" s="39"/>
      <c r="X1101" s="39"/>
    </row>
    <row r="1102" spans="1:24" ht="15.75" customHeight="1" x14ac:dyDescent="0.25">
      <c r="A1102" s="39"/>
      <c r="B1102" s="39"/>
      <c r="C1102" s="39"/>
      <c r="D1102" s="39"/>
      <c r="E1102" s="39"/>
      <c r="F1102" s="39"/>
      <c r="G1102" s="39"/>
      <c r="H1102" s="35"/>
      <c r="I1102" s="88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  <c r="T1102" s="39"/>
      <c r="U1102" s="39"/>
      <c r="V1102" s="39"/>
      <c r="W1102" s="39"/>
      <c r="X1102" s="39"/>
    </row>
    <row r="1103" spans="1:24" ht="15.75" customHeight="1" x14ac:dyDescent="0.25">
      <c r="A1103" s="39"/>
      <c r="B1103" s="39"/>
      <c r="C1103" s="39"/>
      <c r="D1103" s="39"/>
      <c r="E1103" s="39"/>
      <c r="F1103" s="39"/>
      <c r="G1103" s="39"/>
      <c r="H1103" s="35"/>
      <c r="I1103" s="88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  <c r="T1103" s="39"/>
      <c r="U1103" s="39"/>
      <c r="V1103" s="39"/>
      <c r="W1103" s="39"/>
      <c r="X1103" s="39"/>
    </row>
    <row r="1104" spans="1:24" ht="15.75" customHeight="1" x14ac:dyDescent="0.25">
      <c r="A1104" s="39"/>
      <c r="B1104" s="39"/>
      <c r="C1104" s="39"/>
      <c r="D1104" s="39"/>
      <c r="E1104" s="39"/>
      <c r="F1104" s="39"/>
      <c r="G1104" s="39"/>
      <c r="H1104" s="35"/>
      <c r="I1104" s="88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  <c r="T1104" s="39"/>
      <c r="U1104" s="39"/>
      <c r="V1104" s="39"/>
      <c r="W1104" s="39"/>
      <c r="X1104" s="39"/>
    </row>
    <row r="1105" spans="1:24" ht="15.75" customHeight="1" x14ac:dyDescent="0.25">
      <c r="A1105" s="39"/>
      <c r="B1105" s="39"/>
      <c r="C1105" s="39"/>
      <c r="D1105" s="39"/>
      <c r="E1105" s="39"/>
      <c r="F1105" s="39"/>
      <c r="G1105" s="39"/>
      <c r="H1105" s="35"/>
      <c r="I1105" s="88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  <c r="T1105" s="39"/>
      <c r="U1105" s="39"/>
      <c r="V1105" s="39"/>
      <c r="W1105" s="39"/>
      <c r="X1105" s="39"/>
    </row>
    <row r="1106" spans="1:24" ht="15.75" customHeight="1" x14ac:dyDescent="0.25">
      <c r="A1106" s="39"/>
      <c r="B1106" s="39"/>
      <c r="C1106" s="39"/>
      <c r="D1106" s="39"/>
      <c r="E1106" s="39"/>
      <c r="F1106" s="39"/>
      <c r="G1106" s="39"/>
      <c r="H1106" s="35"/>
      <c r="I1106" s="88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  <c r="T1106" s="39"/>
      <c r="U1106" s="39"/>
      <c r="V1106" s="39"/>
      <c r="W1106" s="39"/>
      <c r="X1106" s="39"/>
    </row>
    <row r="1107" spans="1:24" ht="15.75" customHeight="1" x14ac:dyDescent="0.25">
      <c r="A1107" s="39"/>
      <c r="B1107" s="39"/>
      <c r="C1107" s="39"/>
      <c r="D1107" s="39"/>
      <c r="E1107" s="39"/>
      <c r="F1107" s="39"/>
      <c r="G1107" s="39"/>
      <c r="H1107" s="35"/>
      <c r="I1107" s="88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  <c r="T1107" s="39"/>
      <c r="U1107" s="39"/>
      <c r="V1107" s="39"/>
      <c r="W1107" s="39"/>
      <c r="X1107" s="39"/>
    </row>
    <row r="1108" spans="1:24" ht="15.75" customHeight="1" x14ac:dyDescent="0.25">
      <c r="A1108" s="39"/>
      <c r="B1108" s="39"/>
      <c r="C1108" s="39"/>
      <c r="D1108" s="39"/>
      <c r="E1108" s="39"/>
      <c r="F1108" s="39"/>
      <c r="G1108" s="39"/>
      <c r="H1108" s="35"/>
      <c r="I1108" s="88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U1108" s="39"/>
      <c r="V1108" s="39"/>
      <c r="W1108" s="39"/>
      <c r="X1108" s="39"/>
    </row>
    <row r="1109" spans="1:24" ht="15.75" customHeight="1" x14ac:dyDescent="0.25">
      <c r="A1109" s="39"/>
      <c r="B1109" s="39"/>
      <c r="C1109" s="39"/>
      <c r="D1109" s="39"/>
      <c r="E1109" s="39"/>
      <c r="F1109" s="39"/>
      <c r="G1109" s="39"/>
      <c r="H1109" s="35"/>
      <c r="I1109" s="88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  <c r="T1109" s="39"/>
      <c r="U1109" s="39"/>
      <c r="V1109" s="39"/>
      <c r="W1109" s="39"/>
      <c r="X1109" s="39"/>
    </row>
    <row r="1110" spans="1:24" ht="15.75" customHeight="1" x14ac:dyDescent="0.25">
      <c r="A1110" s="39"/>
      <c r="B1110" s="39"/>
      <c r="C1110" s="39"/>
      <c r="D1110" s="39"/>
      <c r="E1110" s="39"/>
      <c r="F1110" s="39"/>
      <c r="G1110" s="39"/>
      <c r="H1110" s="35"/>
      <c r="I1110" s="88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U1110" s="39"/>
      <c r="V1110" s="39"/>
      <c r="W1110" s="39"/>
      <c r="X1110" s="39"/>
    </row>
    <row r="1111" spans="1:24" ht="15.75" customHeight="1" x14ac:dyDescent="0.25">
      <c r="A1111" s="39"/>
      <c r="B1111" s="39"/>
      <c r="C1111" s="39"/>
      <c r="D1111" s="39"/>
      <c r="E1111" s="39"/>
      <c r="F1111" s="39"/>
      <c r="G1111" s="39"/>
      <c r="H1111" s="35"/>
      <c r="I1111" s="88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U1111" s="39"/>
      <c r="V1111" s="39"/>
      <c r="W1111" s="39"/>
      <c r="X1111" s="39"/>
    </row>
    <row r="1112" spans="1:24" ht="15.75" customHeight="1" x14ac:dyDescent="0.25">
      <c r="A1112" s="39"/>
      <c r="B1112" s="39"/>
      <c r="C1112" s="39"/>
      <c r="D1112" s="39"/>
      <c r="E1112" s="39"/>
      <c r="F1112" s="39"/>
      <c r="G1112" s="39"/>
      <c r="H1112" s="35"/>
      <c r="I1112" s="88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U1112" s="39"/>
      <c r="V1112" s="39"/>
      <c r="W1112" s="39"/>
      <c r="X1112" s="39"/>
    </row>
    <row r="1113" spans="1:24" ht="15.75" customHeight="1" x14ac:dyDescent="0.25">
      <c r="A1113" s="39"/>
      <c r="B1113" s="39"/>
      <c r="C1113" s="39"/>
      <c r="D1113" s="39"/>
      <c r="E1113" s="39"/>
      <c r="F1113" s="39"/>
      <c r="G1113" s="39"/>
      <c r="H1113" s="35"/>
      <c r="I1113" s="88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39"/>
      <c r="V1113" s="39"/>
      <c r="W1113" s="39"/>
      <c r="X1113" s="39"/>
    </row>
    <row r="1114" spans="1:24" ht="15.75" customHeight="1" x14ac:dyDescent="0.25">
      <c r="A1114" s="39"/>
      <c r="B1114" s="39"/>
      <c r="C1114" s="39"/>
      <c r="D1114" s="39"/>
      <c r="E1114" s="39"/>
      <c r="F1114" s="39"/>
      <c r="G1114" s="39"/>
      <c r="H1114" s="35"/>
      <c r="I1114" s="88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U1114" s="39"/>
      <c r="V1114" s="39"/>
      <c r="W1114" s="39"/>
      <c r="X1114" s="39"/>
    </row>
    <row r="1115" spans="1:24" ht="15.75" customHeight="1" x14ac:dyDescent="0.25">
      <c r="A1115" s="39"/>
      <c r="B1115" s="39"/>
      <c r="C1115" s="39"/>
      <c r="D1115" s="39"/>
      <c r="E1115" s="39"/>
      <c r="F1115" s="39"/>
      <c r="G1115" s="39"/>
      <c r="H1115" s="35"/>
      <c r="I1115" s="88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  <c r="T1115" s="39"/>
      <c r="U1115" s="39"/>
      <c r="V1115" s="39"/>
      <c r="W1115" s="39"/>
      <c r="X1115" s="39"/>
    </row>
    <row r="1116" spans="1:24" ht="15.75" customHeight="1" x14ac:dyDescent="0.25">
      <c r="A1116" s="39"/>
      <c r="B1116" s="39"/>
      <c r="C1116" s="39"/>
      <c r="D1116" s="39"/>
      <c r="E1116" s="39"/>
      <c r="F1116" s="39"/>
      <c r="G1116" s="39"/>
      <c r="H1116" s="35"/>
      <c r="I1116" s="88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  <c r="T1116" s="39"/>
      <c r="U1116" s="39"/>
      <c r="V1116" s="39"/>
      <c r="W1116" s="39"/>
      <c r="X1116" s="39"/>
    </row>
    <row r="1117" spans="1:24" ht="15.75" customHeight="1" x14ac:dyDescent="0.25">
      <c r="A1117" s="39"/>
      <c r="B1117" s="39"/>
      <c r="C1117" s="39"/>
      <c r="D1117" s="39"/>
      <c r="E1117" s="39"/>
      <c r="F1117" s="39"/>
      <c r="G1117" s="39"/>
      <c r="H1117" s="35"/>
      <c r="I1117" s="88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  <c r="T1117" s="39"/>
      <c r="U1117" s="39"/>
      <c r="V1117" s="39"/>
      <c r="W1117" s="39"/>
      <c r="X1117" s="39"/>
    </row>
    <row r="1118" spans="1:24" ht="15.75" customHeight="1" x14ac:dyDescent="0.25">
      <c r="A1118" s="39"/>
      <c r="B1118" s="39"/>
      <c r="C1118" s="39"/>
      <c r="D1118" s="39"/>
      <c r="E1118" s="39"/>
      <c r="F1118" s="39"/>
      <c r="G1118" s="39"/>
      <c r="H1118" s="35"/>
      <c r="I1118" s="88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  <c r="T1118" s="39"/>
      <c r="U1118" s="39"/>
      <c r="V1118" s="39"/>
      <c r="W1118" s="39"/>
      <c r="X1118" s="39"/>
    </row>
    <row r="1119" spans="1:24" ht="15.75" customHeight="1" x14ac:dyDescent="0.25">
      <c r="A1119" s="39"/>
      <c r="B1119" s="39"/>
      <c r="C1119" s="39"/>
      <c r="D1119" s="39"/>
      <c r="E1119" s="39"/>
      <c r="F1119" s="39"/>
      <c r="G1119" s="39"/>
      <c r="H1119" s="35"/>
      <c r="I1119" s="88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  <c r="T1119" s="39"/>
      <c r="U1119" s="39"/>
      <c r="V1119" s="39"/>
      <c r="W1119" s="39"/>
      <c r="X1119" s="39"/>
    </row>
    <row r="1120" spans="1:24" ht="15.75" customHeight="1" x14ac:dyDescent="0.25">
      <c r="A1120" s="39"/>
      <c r="B1120" s="39"/>
      <c r="C1120" s="39"/>
      <c r="D1120" s="39"/>
      <c r="E1120" s="39"/>
      <c r="F1120" s="39"/>
      <c r="G1120" s="39"/>
      <c r="H1120" s="35"/>
      <c r="I1120" s="88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  <c r="T1120" s="39"/>
      <c r="U1120" s="39"/>
      <c r="V1120" s="39"/>
      <c r="W1120" s="39"/>
      <c r="X1120" s="39"/>
    </row>
    <row r="1121" spans="1:24" ht="15.75" customHeight="1" x14ac:dyDescent="0.25">
      <c r="A1121" s="39"/>
      <c r="B1121" s="39"/>
      <c r="C1121" s="39"/>
      <c r="D1121" s="39"/>
      <c r="E1121" s="39"/>
      <c r="F1121" s="39"/>
      <c r="G1121" s="39"/>
      <c r="H1121" s="35"/>
      <c r="I1121" s="88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  <c r="T1121" s="39"/>
      <c r="U1121" s="39"/>
      <c r="V1121" s="39"/>
      <c r="W1121" s="39"/>
      <c r="X1121" s="39"/>
    </row>
    <row r="1122" spans="1:24" ht="15.75" customHeight="1" x14ac:dyDescent="0.25">
      <c r="A1122" s="39"/>
      <c r="B1122" s="39"/>
      <c r="C1122" s="39"/>
      <c r="D1122" s="39"/>
      <c r="E1122" s="39"/>
      <c r="F1122" s="39"/>
      <c r="G1122" s="39"/>
      <c r="H1122" s="35"/>
      <c r="I1122" s="88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  <c r="T1122" s="39"/>
      <c r="U1122" s="39"/>
      <c r="V1122" s="39"/>
      <c r="W1122" s="39"/>
      <c r="X1122" s="39"/>
    </row>
    <row r="1123" spans="1:24" ht="15.75" customHeight="1" x14ac:dyDescent="0.25">
      <c r="A1123" s="39"/>
      <c r="B1123" s="39"/>
      <c r="C1123" s="39"/>
      <c r="D1123" s="39"/>
      <c r="E1123" s="39"/>
      <c r="F1123" s="39"/>
      <c r="G1123" s="39"/>
      <c r="H1123" s="35"/>
      <c r="I1123" s="88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  <c r="T1123" s="39"/>
      <c r="U1123" s="39"/>
      <c r="V1123" s="39"/>
      <c r="W1123" s="39"/>
      <c r="X1123" s="39"/>
    </row>
    <row r="1124" spans="1:24" ht="15.75" customHeight="1" x14ac:dyDescent="0.25">
      <c r="A1124" s="39"/>
      <c r="B1124" s="39"/>
      <c r="C1124" s="39"/>
      <c r="D1124" s="39"/>
      <c r="E1124" s="39"/>
      <c r="F1124" s="39"/>
      <c r="G1124" s="39"/>
      <c r="H1124" s="35"/>
      <c r="I1124" s="88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U1124" s="39"/>
      <c r="V1124" s="39"/>
      <c r="W1124" s="39"/>
      <c r="X1124" s="39"/>
    </row>
    <row r="1125" spans="1:24" ht="15.75" customHeight="1" x14ac:dyDescent="0.25">
      <c r="A1125" s="39"/>
      <c r="B1125" s="39"/>
      <c r="C1125" s="39"/>
      <c r="D1125" s="39"/>
      <c r="E1125" s="39"/>
      <c r="F1125" s="39"/>
      <c r="G1125" s="39"/>
      <c r="H1125" s="35"/>
      <c r="I1125" s="88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  <c r="T1125" s="39"/>
      <c r="U1125" s="39"/>
      <c r="V1125" s="39"/>
      <c r="W1125" s="39"/>
      <c r="X1125" s="39"/>
    </row>
    <row r="1126" spans="1:24" ht="15.75" customHeight="1" x14ac:dyDescent="0.25">
      <c r="A1126" s="39"/>
      <c r="B1126" s="39"/>
      <c r="C1126" s="39"/>
      <c r="D1126" s="39"/>
      <c r="E1126" s="39"/>
      <c r="F1126" s="39"/>
      <c r="G1126" s="39"/>
      <c r="H1126" s="35"/>
      <c r="I1126" s="88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  <c r="T1126" s="39"/>
      <c r="U1126" s="39"/>
      <c r="V1126" s="39"/>
      <c r="W1126" s="39"/>
      <c r="X1126" s="39"/>
    </row>
    <row r="1127" spans="1:24" ht="15.75" customHeight="1" x14ac:dyDescent="0.25">
      <c r="A1127" s="39"/>
      <c r="B1127" s="39"/>
      <c r="C1127" s="39"/>
      <c r="D1127" s="39"/>
      <c r="E1127" s="39"/>
      <c r="F1127" s="39"/>
      <c r="G1127" s="39"/>
      <c r="H1127" s="35"/>
      <c r="I1127" s="88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  <c r="T1127" s="39"/>
      <c r="U1127" s="39"/>
      <c r="V1127" s="39"/>
      <c r="W1127" s="39"/>
      <c r="X1127" s="39"/>
    </row>
    <row r="1128" spans="1:24" ht="15.75" customHeight="1" x14ac:dyDescent="0.25">
      <c r="A1128" s="39"/>
      <c r="B1128" s="39"/>
      <c r="C1128" s="39"/>
      <c r="D1128" s="39"/>
      <c r="E1128" s="39"/>
      <c r="F1128" s="39"/>
      <c r="G1128" s="39"/>
      <c r="H1128" s="35"/>
      <c r="I1128" s="88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  <c r="T1128" s="39"/>
      <c r="U1128" s="39"/>
      <c r="V1128" s="39"/>
      <c r="W1128" s="39"/>
      <c r="X1128" s="39"/>
    </row>
    <row r="1129" spans="1:24" ht="15.75" customHeight="1" x14ac:dyDescent="0.25">
      <c r="A1129" s="39"/>
      <c r="B1129" s="39"/>
      <c r="C1129" s="39"/>
      <c r="D1129" s="39"/>
      <c r="E1129" s="39"/>
      <c r="F1129" s="39"/>
      <c r="G1129" s="39"/>
      <c r="H1129" s="35"/>
      <c r="I1129" s="88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U1129" s="39"/>
      <c r="V1129" s="39"/>
      <c r="W1129" s="39"/>
      <c r="X1129" s="39"/>
    </row>
    <row r="1130" spans="1:24" ht="15.75" customHeight="1" x14ac:dyDescent="0.25">
      <c r="A1130" s="39"/>
      <c r="B1130" s="39"/>
      <c r="C1130" s="39"/>
      <c r="D1130" s="39"/>
      <c r="E1130" s="39"/>
      <c r="F1130" s="39"/>
      <c r="G1130" s="39"/>
      <c r="H1130" s="35"/>
      <c r="I1130" s="88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  <c r="T1130" s="39"/>
      <c r="U1130" s="39"/>
      <c r="V1130" s="39"/>
      <c r="W1130" s="39"/>
      <c r="X1130" s="39"/>
    </row>
    <row r="1131" spans="1:24" ht="15.75" customHeight="1" x14ac:dyDescent="0.25">
      <c r="A1131" s="39"/>
      <c r="B1131" s="39"/>
      <c r="C1131" s="39"/>
      <c r="D1131" s="39"/>
      <c r="E1131" s="39"/>
      <c r="F1131" s="39"/>
      <c r="G1131" s="39"/>
      <c r="H1131" s="35"/>
      <c r="I1131" s="88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U1131" s="39"/>
      <c r="V1131" s="39"/>
      <c r="W1131" s="39"/>
      <c r="X1131" s="39"/>
    </row>
    <row r="1132" spans="1:24" ht="15.75" customHeight="1" x14ac:dyDescent="0.25">
      <c r="A1132" s="39"/>
      <c r="B1132" s="39"/>
      <c r="C1132" s="39"/>
      <c r="D1132" s="39"/>
      <c r="E1132" s="39"/>
      <c r="F1132" s="39"/>
      <c r="G1132" s="39"/>
      <c r="H1132" s="35"/>
      <c r="I1132" s="88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  <c r="T1132" s="39"/>
      <c r="U1132" s="39"/>
      <c r="V1132" s="39"/>
      <c r="W1132" s="39"/>
      <c r="X1132" s="39"/>
    </row>
    <row r="1133" spans="1:24" ht="15.75" customHeight="1" x14ac:dyDescent="0.25">
      <c r="A1133" s="39"/>
      <c r="B1133" s="39"/>
      <c r="C1133" s="39"/>
      <c r="D1133" s="39"/>
      <c r="E1133" s="39"/>
      <c r="F1133" s="39"/>
      <c r="G1133" s="39"/>
      <c r="H1133" s="35"/>
      <c r="I1133" s="88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  <c r="T1133" s="39"/>
      <c r="U1133" s="39"/>
      <c r="V1133" s="39"/>
      <c r="W1133" s="39"/>
      <c r="X1133" s="39"/>
    </row>
    <row r="1134" spans="1:24" ht="15.75" customHeight="1" x14ac:dyDescent="0.25">
      <c r="A1134" s="39"/>
      <c r="B1134" s="39"/>
      <c r="C1134" s="39"/>
      <c r="D1134" s="39"/>
      <c r="E1134" s="39"/>
      <c r="F1134" s="39"/>
      <c r="G1134" s="39"/>
      <c r="H1134" s="35"/>
      <c r="I1134" s="88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  <c r="T1134" s="39"/>
      <c r="U1134" s="39"/>
      <c r="V1134" s="39"/>
      <c r="W1134" s="39"/>
      <c r="X1134" s="39"/>
    </row>
    <row r="1135" spans="1:24" ht="15.75" customHeight="1" x14ac:dyDescent="0.25">
      <c r="A1135" s="39"/>
      <c r="B1135" s="39"/>
      <c r="C1135" s="39"/>
      <c r="D1135" s="39"/>
      <c r="E1135" s="39"/>
      <c r="F1135" s="39"/>
      <c r="G1135" s="39"/>
      <c r="H1135" s="35"/>
      <c r="I1135" s="88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U1135" s="39"/>
      <c r="V1135" s="39"/>
      <c r="W1135" s="39"/>
      <c r="X1135" s="39"/>
    </row>
    <row r="1136" spans="1:24" ht="15.75" customHeight="1" x14ac:dyDescent="0.25">
      <c r="A1136" s="39"/>
      <c r="B1136" s="39"/>
      <c r="C1136" s="39"/>
      <c r="D1136" s="39"/>
      <c r="E1136" s="39"/>
      <c r="F1136" s="39"/>
      <c r="G1136" s="39"/>
      <c r="H1136" s="35"/>
      <c r="I1136" s="88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  <c r="T1136" s="39"/>
      <c r="U1136" s="39"/>
      <c r="V1136" s="39"/>
      <c r="W1136" s="39"/>
      <c r="X1136" s="39"/>
    </row>
    <row r="1137" spans="1:24" ht="15.75" customHeight="1" x14ac:dyDescent="0.25">
      <c r="A1137" s="39"/>
      <c r="B1137" s="39"/>
      <c r="C1137" s="39"/>
      <c r="D1137" s="39"/>
      <c r="E1137" s="39"/>
      <c r="F1137" s="39"/>
      <c r="G1137" s="39"/>
      <c r="H1137" s="35"/>
      <c r="I1137" s="88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U1137" s="39"/>
      <c r="V1137" s="39"/>
      <c r="W1137" s="39"/>
      <c r="X1137" s="39"/>
    </row>
    <row r="1138" spans="1:24" ht="15.75" customHeight="1" x14ac:dyDescent="0.25">
      <c r="A1138" s="39"/>
      <c r="B1138" s="39"/>
      <c r="C1138" s="39"/>
      <c r="D1138" s="39"/>
      <c r="E1138" s="39"/>
      <c r="F1138" s="39"/>
      <c r="G1138" s="39"/>
      <c r="H1138" s="35"/>
      <c r="I1138" s="88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  <c r="T1138" s="39"/>
      <c r="U1138" s="39"/>
      <c r="V1138" s="39"/>
      <c r="W1138" s="39"/>
      <c r="X1138" s="39"/>
    </row>
    <row r="1139" spans="1:24" ht="15.75" customHeight="1" x14ac:dyDescent="0.25">
      <c r="A1139" s="39"/>
      <c r="B1139" s="39"/>
      <c r="C1139" s="39"/>
      <c r="D1139" s="39"/>
      <c r="E1139" s="39"/>
      <c r="F1139" s="39"/>
      <c r="G1139" s="39"/>
      <c r="H1139" s="35"/>
      <c r="I1139" s="88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U1139" s="39"/>
      <c r="V1139" s="39"/>
      <c r="W1139" s="39"/>
      <c r="X1139" s="39"/>
    </row>
    <row r="1140" spans="1:24" ht="15.75" customHeight="1" x14ac:dyDescent="0.25">
      <c r="A1140" s="39"/>
      <c r="B1140" s="39"/>
      <c r="C1140" s="39"/>
      <c r="D1140" s="39"/>
      <c r="E1140" s="39"/>
      <c r="F1140" s="39"/>
      <c r="G1140" s="39"/>
      <c r="H1140" s="35"/>
      <c r="I1140" s="88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  <c r="T1140" s="39"/>
      <c r="U1140" s="39"/>
      <c r="V1140" s="39"/>
      <c r="W1140" s="39"/>
      <c r="X1140" s="39"/>
    </row>
    <row r="1141" spans="1:24" ht="15.75" customHeight="1" x14ac:dyDescent="0.25">
      <c r="A1141" s="39"/>
      <c r="B1141" s="39"/>
      <c r="C1141" s="39"/>
      <c r="D1141" s="39"/>
      <c r="E1141" s="39"/>
      <c r="F1141" s="39"/>
      <c r="G1141" s="39"/>
      <c r="H1141" s="35"/>
      <c r="I1141" s="88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  <c r="T1141" s="39"/>
      <c r="U1141" s="39"/>
      <c r="V1141" s="39"/>
      <c r="W1141" s="39"/>
      <c r="X1141" s="39"/>
    </row>
    <row r="1142" spans="1:24" ht="15.75" customHeight="1" x14ac:dyDescent="0.25">
      <c r="A1142" s="39"/>
      <c r="B1142" s="39"/>
      <c r="C1142" s="39"/>
      <c r="D1142" s="39"/>
      <c r="E1142" s="39"/>
      <c r="F1142" s="39"/>
      <c r="G1142" s="39"/>
      <c r="H1142" s="35"/>
      <c r="I1142" s="88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U1142" s="39"/>
      <c r="V1142" s="39"/>
      <c r="W1142" s="39"/>
      <c r="X1142" s="39"/>
    </row>
    <row r="1143" spans="1:24" ht="15.75" customHeight="1" x14ac:dyDescent="0.25">
      <c r="A1143" s="39"/>
      <c r="B1143" s="39"/>
      <c r="C1143" s="39"/>
      <c r="D1143" s="39"/>
      <c r="E1143" s="39"/>
      <c r="F1143" s="39"/>
      <c r="G1143" s="39"/>
      <c r="H1143" s="35"/>
      <c r="I1143" s="88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U1143" s="39"/>
      <c r="V1143" s="39"/>
      <c r="W1143" s="39"/>
      <c r="X1143" s="39"/>
    </row>
    <row r="1144" spans="1:24" ht="15.75" customHeight="1" x14ac:dyDescent="0.25">
      <c r="A1144" s="39"/>
      <c r="B1144" s="39"/>
      <c r="C1144" s="39"/>
      <c r="D1144" s="39"/>
      <c r="E1144" s="39"/>
      <c r="F1144" s="39"/>
      <c r="G1144" s="39"/>
      <c r="H1144" s="35"/>
      <c r="I1144" s="88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U1144" s="39"/>
      <c r="V1144" s="39"/>
      <c r="W1144" s="39"/>
      <c r="X1144" s="39"/>
    </row>
    <row r="1145" spans="1:24" ht="15.75" customHeight="1" x14ac:dyDescent="0.25">
      <c r="A1145" s="39"/>
      <c r="B1145" s="39"/>
      <c r="C1145" s="39"/>
      <c r="D1145" s="39"/>
      <c r="E1145" s="39"/>
      <c r="F1145" s="39"/>
      <c r="G1145" s="39"/>
      <c r="H1145" s="35"/>
      <c r="I1145" s="88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U1145" s="39"/>
      <c r="V1145" s="39"/>
      <c r="W1145" s="39"/>
      <c r="X1145" s="39"/>
    </row>
    <row r="1146" spans="1:24" ht="15.75" customHeight="1" x14ac:dyDescent="0.25">
      <c r="A1146" s="39"/>
      <c r="B1146" s="39"/>
      <c r="C1146" s="39"/>
      <c r="D1146" s="39"/>
      <c r="E1146" s="39"/>
      <c r="F1146" s="39"/>
      <c r="G1146" s="39"/>
      <c r="H1146" s="35"/>
      <c r="I1146" s="88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U1146" s="39"/>
      <c r="V1146" s="39"/>
      <c r="W1146" s="39"/>
      <c r="X1146" s="39"/>
    </row>
    <row r="1147" spans="1:24" ht="15.75" customHeight="1" x14ac:dyDescent="0.25">
      <c r="A1147" s="39"/>
      <c r="B1147" s="39"/>
      <c r="C1147" s="39"/>
      <c r="D1147" s="39"/>
      <c r="E1147" s="39"/>
      <c r="F1147" s="39"/>
      <c r="G1147" s="39"/>
      <c r="H1147" s="35"/>
      <c r="I1147" s="88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  <c r="T1147" s="39"/>
      <c r="U1147" s="39"/>
      <c r="V1147" s="39"/>
      <c r="W1147" s="39"/>
      <c r="X1147" s="39"/>
    </row>
    <row r="1148" spans="1:24" ht="15.75" customHeight="1" x14ac:dyDescent="0.25">
      <c r="A1148" s="39"/>
      <c r="B1148" s="39"/>
      <c r="C1148" s="39"/>
      <c r="D1148" s="39"/>
      <c r="E1148" s="39"/>
      <c r="F1148" s="39"/>
      <c r="G1148" s="39"/>
      <c r="H1148" s="35"/>
      <c r="I1148" s="88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  <c r="T1148" s="39"/>
      <c r="U1148" s="39"/>
      <c r="V1148" s="39"/>
      <c r="W1148" s="39"/>
      <c r="X1148" s="39"/>
    </row>
    <row r="1149" spans="1:24" ht="15.75" customHeight="1" x14ac:dyDescent="0.25">
      <c r="A1149" s="39"/>
      <c r="B1149" s="39"/>
      <c r="C1149" s="39"/>
      <c r="D1149" s="39"/>
      <c r="E1149" s="39"/>
      <c r="F1149" s="39"/>
      <c r="G1149" s="39"/>
      <c r="H1149" s="35"/>
      <c r="I1149" s="88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39"/>
      <c r="V1149" s="39"/>
      <c r="W1149" s="39"/>
      <c r="X1149" s="39"/>
    </row>
    <row r="1150" spans="1:24" ht="15.75" customHeight="1" x14ac:dyDescent="0.25">
      <c r="A1150" s="39"/>
      <c r="B1150" s="39"/>
      <c r="C1150" s="39"/>
      <c r="D1150" s="39"/>
      <c r="E1150" s="39"/>
      <c r="F1150" s="39"/>
      <c r="G1150" s="39"/>
      <c r="H1150" s="35"/>
      <c r="I1150" s="88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  <c r="T1150" s="39"/>
      <c r="U1150" s="39"/>
      <c r="V1150" s="39"/>
      <c r="W1150" s="39"/>
      <c r="X1150" s="39"/>
    </row>
    <row r="1151" spans="1:24" ht="15.75" customHeight="1" x14ac:dyDescent="0.25">
      <c r="A1151" s="39"/>
      <c r="B1151" s="39"/>
      <c r="C1151" s="39"/>
      <c r="D1151" s="39"/>
      <c r="E1151" s="39"/>
      <c r="F1151" s="39"/>
      <c r="G1151" s="39"/>
      <c r="H1151" s="35"/>
      <c r="I1151" s="88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  <c r="T1151" s="39"/>
      <c r="U1151" s="39"/>
      <c r="V1151" s="39"/>
      <c r="W1151" s="39"/>
      <c r="X1151" s="39"/>
    </row>
    <row r="1152" spans="1:24" ht="15.75" customHeight="1" x14ac:dyDescent="0.25">
      <c r="A1152" s="39"/>
      <c r="B1152" s="39"/>
      <c r="C1152" s="39"/>
      <c r="D1152" s="39"/>
      <c r="E1152" s="39"/>
      <c r="F1152" s="39"/>
      <c r="G1152" s="39"/>
      <c r="H1152" s="35"/>
      <c r="I1152" s="88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  <c r="T1152" s="39"/>
      <c r="U1152" s="39"/>
      <c r="V1152" s="39"/>
      <c r="W1152" s="39"/>
      <c r="X1152" s="39"/>
    </row>
    <row r="1153" spans="1:24" ht="15.75" customHeight="1" x14ac:dyDescent="0.25">
      <c r="A1153" s="39"/>
      <c r="B1153" s="39"/>
      <c r="C1153" s="39"/>
      <c r="D1153" s="39"/>
      <c r="E1153" s="39"/>
      <c r="F1153" s="39"/>
      <c r="G1153" s="39"/>
      <c r="H1153" s="35"/>
      <c r="I1153" s="88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  <c r="T1153" s="39"/>
      <c r="U1153" s="39"/>
      <c r="V1153" s="39"/>
      <c r="W1153" s="39"/>
      <c r="X1153" s="39"/>
    </row>
    <row r="1154" spans="1:24" ht="15.75" customHeight="1" x14ac:dyDescent="0.25">
      <c r="A1154" s="39"/>
      <c r="B1154" s="39"/>
      <c r="C1154" s="39"/>
      <c r="D1154" s="39"/>
      <c r="E1154" s="39"/>
      <c r="F1154" s="39"/>
      <c r="G1154" s="39"/>
      <c r="H1154" s="35"/>
      <c r="I1154" s="88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  <c r="T1154" s="39"/>
      <c r="U1154" s="39"/>
      <c r="V1154" s="39"/>
      <c r="W1154" s="39"/>
      <c r="X1154" s="39"/>
    </row>
    <row r="1155" spans="1:24" ht="15.75" customHeight="1" x14ac:dyDescent="0.25">
      <c r="A1155" s="39"/>
      <c r="B1155" s="39"/>
      <c r="C1155" s="39"/>
      <c r="D1155" s="39"/>
      <c r="E1155" s="39"/>
      <c r="F1155" s="39"/>
      <c r="G1155" s="39"/>
      <c r="H1155" s="35"/>
      <c r="I1155" s="88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9"/>
      <c r="U1155" s="39"/>
      <c r="V1155" s="39"/>
      <c r="W1155" s="39"/>
      <c r="X1155" s="39"/>
    </row>
    <row r="1156" spans="1:24" ht="15.75" customHeight="1" x14ac:dyDescent="0.25">
      <c r="A1156" s="39"/>
      <c r="B1156" s="39"/>
      <c r="C1156" s="39"/>
      <c r="D1156" s="39"/>
      <c r="E1156" s="39"/>
      <c r="F1156" s="39"/>
      <c r="G1156" s="39"/>
      <c r="H1156" s="35"/>
      <c r="I1156" s="88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U1156" s="39"/>
      <c r="V1156" s="39"/>
      <c r="W1156" s="39"/>
      <c r="X1156" s="39"/>
    </row>
    <row r="1157" spans="1:24" ht="15.75" customHeight="1" x14ac:dyDescent="0.25">
      <c r="A1157" s="39"/>
      <c r="B1157" s="39"/>
      <c r="C1157" s="39"/>
      <c r="D1157" s="39"/>
      <c r="E1157" s="39"/>
      <c r="F1157" s="39"/>
      <c r="G1157" s="39"/>
      <c r="H1157" s="35"/>
      <c r="I1157" s="88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  <c r="T1157" s="39"/>
      <c r="U1157" s="39"/>
      <c r="V1157" s="39"/>
      <c r="W1157" s="39"/>
      <c r="X1157" s="39"/>
    </row>
    <row r="1158" spans="1:24" ht="15.75" customHeight="1" x14ac:dyDescent="0.25">
      <c r="A1158" s="39"/>
      <c r="B1158" s="39"/>
      <c r="C1158" s="39"/>
      <c r="D1158" s="39"/>
      <c r="E1158" s="39"/>
      <c r="F1158" s="39"/>
      <c r="G1158" s="39"/>
      <c r="H1158" s="35"/>
      <c r="I1158" s="88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U1158" s="39"/>
      <c r="V1158" s="39"/>
      <c r="W1158" s="39"/>
      <c r="X1158" s="39"/>
    </row>
    <row r="1159" spans="1:24" ht="15.75" customHeight="1" x14ac:dyDescent="0.25">
      <c r="A1159" s="39"/>
      <c r="B1159" s="39"/>
      <c r="C1159" s="39"/>
      <c r="D1159" s="39"/>
      <c r="E1159" s="39"/>
      <c r="F1159" s="39"/>
      <c r="G1159" s="39"/>
      <c r="H1159" s="35"/>
      <c r="I1159" s="88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U1159" s="39"/>
      <c r="V1159" s="39"/>
      <c r="W1159" s="39"/>
      <c r="X1159" s="39"/>
    </row>
    <row r="1160" spans="1:24" ht="15.75" customHeight="1" x14ac:dyDescent="0.25">
      <c r="A1160" s="39"/>
      <c r="B1160" s="39"/>
      <c r="C1160" s="39"/>
      <c r="D1160" s="39"/>
      <c r="E1160" s="39"/>
      <c r="F1160" s="39"/>
      <c r="G1160" s="39"/>
      <c r="H1160" s="35"/>
      <c r="I1160" s="88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  <c r="T1160" s="39"/>
      <c r="U1160" s="39"/>
      <c r="V1160" s="39"/>
      <c r="W1160" s="39"/>
      <c r="X1160" s="39"/>
    </row>
    <row r="1161" spans="1:24" ht="15.75" customHeight="1" x14ac:dyDescent="0.25">
      <c r="A1161" s="39"/>
      <c r="B1161" s="39"/>
      <c r="C1161" s="39"/>
      <c r="D1161" s="39"/>
      <c r="E1161" s="39"/>
      <c r="F1161" s="39"/>
      <c r="G1161" s="39"/>
      <c r="H1161" s="35"/>
      <c r="I1161" s="88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  <c r="T1161" s="39"/>
      <c r="U1161" s="39"/>
      <c r="V1161" s="39"/>
      <c r="W1161" s="39"/>
      <c r="X1161" s="39"/>
    </row>
    <row r="1162" spans="1:24" ht="15.75" customHeight="1" x14ac:dyDescent="0.25">
      <c r="A1162" s="39"/>
      <c r="B1162" s="39"/>
      <c r="C1162" s="39"/>
      <c r="D1162" s="39"/>
      <c r="E1162" s="39"/>
      <c r="F1162" s="39"/>
      <c r="G1162" s="39"/>
      <c r="H1162" s="35"/>
      <c r="I1162" s="88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  <c r="T1162" s="39"/>
      <c r="U1162" s="39"/>
      <c r="V1162" s="39"/>
      <c r="W1162" s="39"/>
      <c r="X1162" s="39"/>
    </row>
    <row r="1163" spans="1:24" ht="15.75" customHeight="1" x14ac:dyDescent="0.25">
      <c r="A1163" s="39"/>
      <c r="B1163" s="39"/>
      <c r="C1163" s="39"/>
      <c r="D1163" s="39"/>
      <c r="E1163" s="39"/>
      <c r="F1163" s="39"/>
      <c r="G1163" s="39"/>
      <c r="H1163" s="35"/>
      <c r="I1163" s="88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  <c r="T1163" s="39"/>
      <c r="U1163" s="39"/>
      <c r="V1163" s="39"/>
      <c r="W1163" s="39"/>
      <c r="X1163" s="39"/>
    </row>
    <row r="1164" spans="1:24" ht="15.75" customHeight="1" x14ac:dyDescent="0.25">
      <c r="A1164" s="39"/>
      <c r="B1164" s="39"/>
      <c r="C1164" s="39"/>
      <c r="D1164" s="39"/>
      <c r="E1164" s="39"/>
      <c r="F1164" s="39"/>
      <c r="G1164" s="39"/>
      <c r="H1164" s="35"/>
      <c r="I1164" s="88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U1164" s="39"/>
      <c r="V1164" s="39"/>
      <c r="W1164" s="39"/>
      <c r="X1164" s="39"/>
    </row>
    <row r="1165" spans="1:24" ht="15.75" customHeight="1" x14ac:dyDescent="0.25">
      <c r="A1165" s="39"/>
      <c r="B1165" s="39"/>
      <c r="C1165" s="39"/>
      <c r="D1165" s="39"/>
      <c r="E1165" s="39"/>
      <c r="F1165" s="39"/>
      <c r="G1165" s="39"/>
      <c r="H1165" s="35"/>
      <c r="I1165" s="88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U1165" s="39"/>
      <c r="V1165" s="39"/>
      <c r="W1165" s="39"/>
      <c r="X1165" s="39"/>
    </row>
    <row r="1166" spans="1:24" ht="15.75" customHeight="1" x14ac:dyDescent="0.25">
      <c r="A1166" s="39"/>
      <c r="B1166" s="39"/>
      <c r="C1166" s="39"/>
      <c r="D1166" s="39"/>
      <c r="E1166" s="39"/>
      <c r="F1166" s="39"/>
      <c r="G1166" s="39"/>
      <c r="H1166" s="35"/>
      <c r="I1166" s="88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  <c r="T1166" s="39"/>
      <c r="U1166" s="39"/>
      <c r="V1166" s="39"/>
      <c r="W1166" s="39"/>
      <c r="X1166" s="39"/>
    </row>
    <row r="1167" spans="1:24" ht="15.75" customHeight="1" x14ac:dyDescent="0.25">
      <c r="A1167" s="39"/>
      <c r="B1167" s="39"/>
      <c r="C1167" s="39"/>
      <c r="D1167" s="39"/>
      <c r="E1167" s="39"/>
      <c r="F1167" s="39"/>
      <c r="G1167" s="39"/>
      <c r="H1167" s="35"/>
      <c r="I1167" s="88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U1167" s="39"/>
      <c r="V1167" s="39"/>
      <c r="W1167" s="39"/>
      <c r="X1167" s="39"/>
    </row>
    <row r="1168" spans="1:24" ht="15.75" customHeight="1" x14ac:dyDescent="0.25">
      <c r="A1168" s="39"/>
      <c r="B1168" s="39"/>
      <c r="C1168" s="39"/>
      <c r="D1168" s="39"/>
      <c r="E1168" s="39"/>
      <c r="F1168" s="39"/>
      <c r="G1168" s="39"/>
      <c r="H1168" s="35"/>
      <c r="I1168" s="88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  <c r="T1168" s="39"/>
      <c r="U1168" s="39"/>
      <c r="V1168" s="39"/>
      <c r="W1168" s="39"/>
      <c r="X1168" s="39"/>
    </row>
  </sheetData>
  <autoFilter ref="A1:T355" xr:uid="{00000000-0001-0000-0000-000000000000}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C939-E712-42DF-B1F8-29ADD59107D8}">
  <sheetPr codeName="Sheet2"/>
  <dimension ref="A1:N1000"/>
  <sheetViews>
    <sheetView workbookViewId="0">
      <selection activeCell="F19" sqref="F19"/>
    </sheetView>
  </sheetViews>
  <sheetFormatPr defaultRowHeight="15" x14ac:dyDescent="0.25"/>
  <sheetData>
    <row r="1" spans="1:1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"/>
      <c r="H1">
        <v>1</v>
      </c>
      <c r="I1">
        <v>2</v>
      </c>
      <c r="J1">
        <v>3</v>
      </c>
      <c r="K1">
        <v>4</v>
      </c>
      <c r="L1">
        <v>5</v>
      </c>
      <c r="M1" s="3" t="s">
        <v>32</v>
      </c>
      <c r="N1" s="3"/>
    </row>
    <row r="2" spans="1:14" x14ac:dyDescent="0.25">
      <c r="A2" s="4"/>
      <c r="B2" s="4"/>
      <c r="C2" s="4"/>
      <c r="D2" s="4"/>
      <c r="E2" s="4"/>
      <c r="F2" s="4"/>
      <c r="H2">
        <f>B2*$H$1</f>
        <v>0</v>
      </c>
      <c r="I2">
        <f t="shared" ref="I2:I65" si="0">C2*$I$1</f>
        <v>0</v>
      </c>
      <c r="J2">
        <f t="shared" ref="J2:J65" si="1">D2*$J$1</f>
        <v>0</v>
      </c>
      <c r="K2">
        <f t="shared" ref="K2:K65" si="2">E2*$K$1</f>
        <v>0</v>
      </c>
      <c r="L2">
        <f>F2*$L$1</f>
        <v>0</v>
      </c>
      <c r="M2">
        <f>SUM(H2:L2)</f>
        <v>0</v>
      </c>
    </row>
    <row r="3" spans="1:14" x14ac:dyDescent="0.25">
      <c r="A3" s="4"/>
      <c r="B3" s="4"/>
      <c r="C3" s="4"/>
      <c r="D3" s="4"/>
      <c r="E3" s="4"/>
      <c r="F3" s="4"/>
      <c r="H3">
        <f t="shared" ref="H3:H66" si="3">B3*$H$1</f>
        <v>0</v>
      </c>
      <c r="I3">
        <f t="shared" si="0"/>
        <v>0</v>
      </c>
      <c r="J3">
        <f t="shared" si="1"/>
        <v>0</v>
      </c>
      <c r="K3">
        <f t="shared" si="2"/>
        <v>0</v>
      </c>
      <c r="L3">
        <f t="shared" ref="L3:L66" si="4">F3*$L$1</f>
        <v>0</v>
      </c>
      <c r="M3">
        <f t="shared" ref="M3:M66" si="5">SUM(H3:L3)</f>
        <v>0</v>
      </c>
    </row>
    <row r="4" spans="1:14" x14ac:dyDescent="0.25">
      <c r="A4" s="4"/>
      <c r="B4" s="4"/>
      <c r="C4" s="4"/>
      <c r="D4" s="4"/>
      <c r="E4" s="4"/>
      <c r="F4" s="4"/>
      <c r="H4">
        <f t="shared" si="3"/>
        <v>0</v>
      </c>
      <c r="I4">
        <f t="shared" si="0"/>
        <v>0</v>
      </c>
      <c r="J4">
        <f t="shared" si="1"/>
        <v>0</v>
      </c>
      <c r="K4">
        <f t="shared" si="2"/>
        <v>0</v>
      </c>
      <c r="L4">
        <f t="shared" si="4"/>
        <v>0</v>
      </c>
      <c r="M4">
        <f t="shared" si="5"/>
        <v>0</v>
      </c>
    </row>
    <row r="5" spans="1:14" x14ac:dyDescent="0.25">
      <c r="A5" s="4"/>
      <c r="B5" s="4"/>
      <c r="C5" s="4"/>
      <c r="D5" s="4"/>
      <c r="E5" s="4"/>
      <c r="F5" s="4"/>
      <c r="H5">
        <f t="shared" si="3"/>
        <v>0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4"/>
        <v>0</v>
      </c>
      <c r="M5">
        <f t="shared" si="5"/>
        <v>0</v>
      </c>
    </row>
    <row r="6" spans="1:14" x14ac:dyDescent="0.25">
      <c r="A6" s="4"/>
      <c r="B6" s="4"/>
      <c r="C6" s="4"/>
      <c r="D6" s="4"/>
      <c r="E6" s="4"/>
      <c r="F6" s="4"/>
      <c r="H6">
        <f t="shared" si="3"/>
        <v>0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4"/>
        <v>0</v>
      </c>
      <c r="M6">
        <f t="shared" si="5"/>
        <v>0</v>
      </c>
    </row>
    <row r="7" spans="1:14" x14ac:dyDescent="0.25">
      <c r="A7" s="4"/>
      <c r="B7" s="4"/>
      <c r="C7" s="4"/>
      <c r="D7" s="4"/>
      <c r="E7" s="4"/>
      <c r="F7" s="4"/>
      <c r="H7">
        <f t="shared" si="3"/>
        <v>0</v>
      </c>
      <c r="I7">
        <f t="shared" si="0"/>
        <v>0</v>
      </c>
      <c r="J7">
        <f t="shared" si="1"/>
        <v>0</v>
      </c>
      <c r="K7">
        <f t="shared" si="2"/>
        <v>0</v>
      </c>
      <c r="L7">
        <f t="shared" si="4"/>
        <v>0</v>
      </c>
      <c r="M7">
        <f t="shared" si="5"/>
        <v>0</v>
      </c>
    </row>
    <row r="8" spans="1:14" x14ac:dyDescent="0.25">
      <c r="A8" s="4"/>
      <c r="B8" s="4"/>
      <c r="C8" s="4"/>
      <c r="D8" s="4"/>
      <c r="E8" s="4"/>
      <c r="F8" s="4"/>
      <c r="H8">
        <f t="shared" si="3"/>
        <v>0</v>
      </c>
      <c r="I8">
        <f t="shared" si="0"/>
        <v>0</v>
      </c>
      <c r="J8">
        <f t="shared" si="1"/>
        <v>0</v>
      </c>
      <c r="K8">
        <f t="shared" si="2"/>
        <v>0</v>
      </c>
      <c r="L8">
        <f t="shared" si="4"/>
        <v>0</v>
      </c>
      <c r="M8">
        <f t="shared" si="5"/>
        <v>0</v>
      </c>
    </row>
    <row r="9" spans="1:14" x14ac:dyDescent="0.25">
      <c r="A9" s="4"/>
      <c r="B9" s="4"/>
      <c r="C9" s="4"/>
      <c r="D9" s="4"/>
      <c r="E9" s="4"/>
      <c r="F9" s="4"/>
      <c r="H9">
        <f t="shared" si="3"/>
        <v>0</v>
      </c>
      <c r="I9">
        <f t="shared" si="0"/>
        <v>0</v>
      </c>
      <c r="J9">
        <f t="shared" si="1"/>
        <v>0</v>
      </c>
      <c r="K9">
        <f t="shared" si="2"/>
        <v>0</v>
      </c>
      <c r="L9">
        <f t="shared" si="4"/>
        <v>0</v>
      </c>
      <c r="M9">
        <f t="shared" si="5"/>
        <v>0</v>
      </c>
    </row>
    <row r="10" spans="1:14" x14ac:dyDescent="0.25">
      <c r="A10" s="4"/>
      <c r="B10" s="4"/>
      <c r="C10" s="4"/>
      <c r="D10" s="4"/>
      <c r="E10" s="4"/>
      <c r="F10" s="4"/>
      <c r="H10">
        <f t="shared" si="3"/>
        <v>0</v>
      </c>
      <c r="I10">
        <f t="shared" si="0"/>
        <v>0</v>
      </c>
      <c r="J10">
        <f t="shared" si="1"/>
        <v>0</v>
      </c>
      <c r="K10">
        <f t="shared" si="2"/>
        <v>0</v>
      </c>
      <c r="L10">
        <f t="shared" si="4"/>
        <v>0</v>
      </c>
      <c r="M10">
        <f t="shared" si="5"/>
        <v>0</v>
      </c>
    </row>
    <row r="11" spans="1:14" x14ac:dyDescent="0.25">
      <c r="A11" s="4"/>
      <c r="B11" s="4"/>
      <c r="C11" s="4"/>
      <c r="D11" s="4"/>
      <c r="E11" s="4"/>
      <c r="F11" s="4"/>
      <c r="H11">
        <f t="shared" si="3"/>
        <v>0</v>
      </c>
      <c r="I11">
        <f t="shared" si="0"/>
        <v>0</v>
      </c>
      <c r="J11">
        <f t="shared" si="1"/>
        <v>0</v>
      </c>
      <c r="K11">
        <f t="shared" si="2"/>
        <v>0</v>
      </c>
      <c r="L11">
        <f t="shared" si="4"/>
        <v>0</v>
      </c>
      <c r="M11">
        <f t="shared" si="5"/>
        <v>0</v>
      </c>
    </row>
    <row r="12" spans="1:14" x14ac:dyDescent="0.25">
      <c r="A12" s="4"/>
      <c r="B12" s="4"/>
      <c r="C12" s="4"/>
      <c r="D12" s="4"/>
      <c r="E12" s="4"/>
      <c r="F12" s="4"/>
      <c r="H12">
        <f t="shared" si="3"/>
        <v>0</v>
      </c>
      <c r="I12">
        <f t="shared" si="0"/>
        <v>0</v>
      </c>
      <c r="J12">
        <f t="shared" si="1"/>
        <v>0</v>
      </c>
      <c r="K12">
        <f t="shared" si="2"/>
        <v>0</v>
      </c>
      <c r="L12">
        <f t="shared" si="4"/>
        <v>0</v>
      </c>
      <c r="M12">
        <f t="shared" si="5"/>
        <v>0</v>
      </c>
    </row>
    <row r="13" spans="1:14" x14ac:dyDescent="0.25">
      <c r="A13" s="4"/>
      <c r="B13" s="4"/>
      <c r="C13" s="4"/>
      <c r="D13" s="4"/>
      <c r="E13" s="4"/>
      <c r="F13" s="4"/>
      <c r="H13">
        <f t="shared" si="3"/>
        <v>0</v>
      </c>
      <c r="I13">
        <f t="shared" si="0"/>
        <v>0</v>
      </c>
      <c r="J13">
        <f t="shared" si="1"/>
        <v>0</v>
      </c>
      <c r="K13">
        <f t="shared" si="2"/>
        <v>0</v>
      </c>
      <c r="L13">
        <f t="shared" si="4"/>
        <v>0</v>
      </c>
      <c r="M13">
        <f t="shared" si="5"/>
        <v>0</v>
      </c>
    </row>
    <row r="14" spans="1:14" x14ac:dyDescent="0.25">
      <c r="A14" s="4"/>
      <c r="B14" s="4"/>
      <c r="C14" s="4"/>
      <c r="D14" s="4"/>
      <c r="E14" s="4"/>
      <c r="F14" s="4"/>
      <c r="H14">
        <f t="shared" si="3"/>
        <v>0</v>
      </c>
      <c r="I14">
        <f t="shared" si="0"/>
        <v>0</v>
      </c>
      <c r="J14">
        <f t="shared" si="1"/>
        <v>0</v>
      </c>
      <c r="K14">
        <f t="shared" si="2"/>
        <v>0</v>
      </c>
      <c r="L14">
        <f t="shared" si="4"/>
        <v>0</v>
      </c>
      <c r="M14">
        <f t="shared" si="5"/>
        <v>0</v>
      </c>
    </row>
    <row r="15" spans="1:14" x14ac:dyDescent="0.25">
      <c r="A15" s="4"/>
      <c r="B15" s="4"/>
      <c r="C15" s="4"/>
      <c r="D15" s="4"/>
      <c r="E15" s="4"/>
      <c r="F15" s="4"/>
      <c r="H15">
        <f t="shared" si="3"/>
        <v>0</v>
      </c>
      <c r="I15">
        <f t="shared" si="0"/>
        <v>0</v>
      </c>
      <c r="J15">
        <f t="shared" si="1"/>
        <v>0</v>
      </c>
      <c r="K15">
        <f t="shared" si="2"/>
        <v>0</v>
      </c>
      <c r="L15">
        <f t="shared" si="4"/>
        <v>0</v>
      </c>
      <c r="M15">
        <f t="shared" si="5"/>
        <v>0</v>
      </c>
    </row>
    <row r="16" spans="1:14" x14ac:dyDescent="0.25">
      <c r="A16" s="4"/>
      <c r="B16" s="4"/>
      <c r="C16" s="4"/>
      <c r="D16" s="4"/>
      <c r="E16" s="4"/>
      <c r="F16" s="4"/>
      <c r="H16">
        <f t="shared" si="3"/>
        <v>0</v>
      </c>
      <c r="I16">
        <f t="shared" si="0"/>
        <v>0</v>
      </c>
      <c r="J16">
        <f t="shared" si="1"/>
        <v>0</v>
      </c>
      <c r="K16">
        <f t="shared" si="2"/>
        <v>0</v>
      </c>
      <c r="L16">
        <f t="shared" si="4"/>
        <v>0</v>
      </c>
      <c r="M16">
        <f t="shared" si="5"/>
        <v>0</v>
      </c>
    </row>
    <row r="17" spans="1:13" x14ac:dyDescent="0.25">
      <c r="A17" s="4"/>
      <c r="B17" s="4"/>
      <c r="C17" s="4"/>
      <c r="D17" s="4"/>
      <c r="E17" s="4"/>
      <c r="F17" s="4"/>
      <c r="H17">
        <f t="shared" si="3"/>
        <v>0</v>
      </c>
      <c r="I17">
        <f t="shared" si="0"/>
        <v>0</v>
      </c>
      <c r="J17">
        <f t="shared" si="1"/>
        <v>0</v>
      </c>
      <c r="K17">
        <f t="shared" si="2"/>
        <v>0</v>
      </c>
      <c r="L17">
        <f t="shared" si="4"/>
        <v>0</v>
      </c>
      <c r="M17">
        <f t="shared" si="5"/>
        <v>0</v>
      </c>
    </row>
    <row r="18" spans="1:13" x14ac:dyDescent="0.25">
      <c r="A18" s="4"/>
      <c r="B18" s="4"/>
      <c r="C18" s="4"/>
      <c r="D18" s="4"/>
      <c r="E18" s="4"/>
      <c r="F18" s="4"/>
      <c r="H18">
        <f t="shared" si="3"/>
        <v>0</v>
      </c>
      <c r="I18">
        <f t="shared" si="0"/>
        <v>0</v>
      </c>
      <c r="J18">
        <f t="shared" si="1"/>
        <v>0</v>
      </c>
      <c r="K18">
        <f t="shared" si="2"/>
        <v>0</v>
      </c>
      <c r="L18">
        <f t="shared" si="4"/>
        <v>0</v>
      </c>
      <c r="M18">
        <f t="shared" si="5"/>
        <v>0</v>
      </c>
    </row>
    <row r="19" spans="1:13" x14ac:dyDescent="0.25">
      <c r="A19" s="4"/>
      <c r="B19" s="4"/>
      <c r="C19" s="4"/>
      <c r="D19" s="4"/>
      <c r="E19" s="4"/>
      <c r="F19" s="4"/>
      <c r="H19">
        <f t="shared" si="3"/>
        <v>0</v>
      </c>
      <c r="I19">
        <f t="shared" si="0"/>
        <v>0</v>
      </c>
      <c r="J19">
        <f t="shared" si="1"/>
        <v>0</v>
      </c>
      <c r="K19">
        <f t="shared" si="2"/>
        <v>0</v>
      </c>
      <c r="L19">
        <f t="shared" si="4"/>
        <v>0</v>
      </c>
      <c r="M19">
        <f t="shared" si="5"/>
        <v>0</v>
      </c>
    </row>
    <row r="20" spans="1:13" x14ac:dyDescent="0.25">
      <c r="A20" s="4"/>
      <c r="B20" s="4"/>
      <c r="C20" s="4"/>
      <c r="D20" s="4"/>
      <c r="E20" s="4"/>
      <c r="F20" s="4"/>
      <c r="H20">
        <f t="shared" si="3"/>
        <v>0</v>
      </c>
      <c r="I20">
        <f t="shared" si="0"/>
        <v>0</v>
      </c>
      <c r="J20">
        <f t="shared" si="1"/>
        <v>0</v>
      </c>
      <c r="K20">
        <f t="shared" si="2"/>
        <v>0</v>
      </c>
      <c r="L20">
        <f t="shared" si="4"/>
        <v>0</v>
      </c>
      <c r="M20">
        <f t="shared" si="5"/>
        <v>0</v>
      </c>
    </row>
    <row r="21" spans="1:13" x14ac:dyDescent="0.25">
      <c r="A21" s="4"/>
      <c r="B21" s="4"/>
      <c r="C21" s="4"/>
      <c r="D21" s="4"/>
      <c r="E21" s="4"/>
      <c r="F21" s="4"/>
      <c r="H21">
        <f t="shared" si="3"/>
        <v>0</v>
      </c>
      <c r="I21">
        <f t="shared" si="0"/>
        <v>0</v>
      </c>
      <c r="J21">
        <f t="shared" si="1"/>
        <v>0</v>
      </c>
      <c r="K21">
        <f t="shared" si="2"/>
        <v>0</v>
      </c>
      <c r="L21">
        <f t="shared" si="4"/>
        <v>0</v>
      </c>
      <c r="M21">
        <f t="shared" si="5"/>
        <v>0</v>
      </c>
    </row>
    <row r="22" spans="1:13" x14ac:dyDescent="0.25">
      <c r="A22" s="4"/>
      <c r="B22" s="4"/>
      <c r="C22" s="4"/>
      <c r="D22" s="4"/>
      <c r="E22" s="4"/>
      <c r="F22" s="4"/>
      <c r="H22">
        <f t="shared" si="3"/>
        <v>0</v>
      </c>
      <c r="I22">
        <f t="shared" si="0"/>
        <v>0</v>
      </c>
      <c r="J22">
        <f t="shared" si="1"/>
        <v>0</v>
      </c>
      <c r="K22">
        <f t="shared" si="2"/>
        <v>0</v>
      </c>
      <c r="L22">
        <f t="shared" si="4"/>
        <v>0</v>
      </c>
      <c r="M22">
        <f t="shared" si="5"/>
        <v>0</v>
      </c>
    </row>
    <row r="23" spans="1:13" x14ac:dyDescent="0.25">
      <c r="A23" s="4"/>
      <c r="B23" s="4"/>
      <c r="C23" s="4"/>
      <c r="D23" s="4"/>
      <c r="E23" s="4"/>
      <c r="F23" s="4"/>
      <c r="H23">
        <f t="shared" si="3"/>
        <v>0</v>
      </c>
      <c r="I23">
        <f t="shared" si="0"/>
        <v>0</v>
      </c>
      <c r="J23">
        <f t="shared" si="1"/>
        <v>0</v>
      </c>
      <c r="K23">
        <f t="shared" si="2"/>
        <v>0</v>
      </c>
      <c r="L23">
        <f t="shared" si="4"/>
        <v>0</v>
      </c>
      <c r="M23">
        <f t="shared" si="5"/>
        <v>0</v>
      </c>
    </row>
    <row r="24" spans="1:13" x14ac:dyDescent="0.25">
      <c r="A24" s="4"/>
      <c r="B24" s="4"/>
      <c r="C24" s="4"/>
      <c r="D24" s="4"/>
      <c r="E24" s="4"/>
      <c r="F24" s="4"/>
      <c r="H24">
        <f t="shared" si="3"/>
        <v>0</v>
      </c>
      <c r="I24">
        <f t="shared" si="0"/>
        <v>0</v>
      </c>
      <c r="J24">
        <f t="shared" si="1"/>
        <v>0</v>
      </c>
      <c r="K24">
        <f t="shared" si="2"/>
        <v>0</v>
      </c>
      <c r="L24">
        <f t="shared" si="4"/>
        <v>0</v>
      </c>
      <c r="M24">
        <f t="shared" si="5"/>
        <v>0</v>
      </c>
    </row>
    <row r="25" spans="1:13" x14ac:dyDescent="0.25">
      <c r="A25" s="4"/>
      <c r="B25" s="4"/>
      <c r="C25" s="4"/>
      <c r="D25" s="4"/>
      <c r="E25" s="4"/>
      <c r="F25" s="4"/>
      <c r="H25">
        <f t="shared" si="3"/>
        <v>0</v>
      </c>
      <c r="I25">
        <f t="shared" si="0"/>
        <v>0</v>
      </c>
      <c r="J25">
        <f t="shared" si="1"/>
        <v>0</v>
      </c>
      <c r="K25">
        <f t="shared" si="2"/>
        <v>0</v>
      </c>
      <c r="L25">
        <f t="shared" si="4"/>
        <v>0</v>
      </c>
      <c r="M25">
        <f t="shared" si="5"/>
        <v>0</v>
      </c>
    </row>
    <row r="26" spans="1:13" x14ac:dyDescent="0.25">
      <c r="A26" s="4"/>
      <c r="B26" s="4"/>
      <c r="C26" s="4"/>
      <c r="D26" s="4"/>
      <c r="E26" s="4"/>
      <c r="F26" s="4"/>
      <c r="H26">
        <f t="shared" si="3"/>
        <v>0</v>
      </c>
      <c r="I26">
        <f t="shared" si="0"/>
        <v>0</v>
      </c>
      <c r="J26">
        <f t="shared" si="1"/>
        <v>0</v>
      </c>
      <c r="K26">
        <f t="shared" si="2"/>
        <v>0</v>
      </c>
      <c r="L26">
        <f t="shared" si="4"/>
        <v>0</v>
      </c>
      <c r="M26">
        <f t="shared" si="5"/>
        <v>0</v>
      </c>
    </row>
    <row r="27" spans="1:13" x14ac:dyDescent="0.25">
      <c r="A27" s="4"/>
      <c r="B27" s="4"/>
      <c r="C27" s="4"/>
      <c r="D27" s="4"/>
      <c r="E27" s="4"/>
      <c r="F27" s="4"/>
      <c r="H27">
        <f t="shared" si="3"/>
        <v>0</v>
      </c>
      <c r="I27">
        <f t="shared" si="0"/>
        <v>0</v>
      </c>
      <c r="J27">
        <f t="shared" si="1"/>
        <v>0</v>
      </c>
      <c r="K27">
        <f t="shared" si="2"/>
        <v>0</v>
      </c>
      <c r="L27">
        <f t="shared" si="4"/>
        <v>0</v>
      </c>
      <c r="M27">
        <f t="shared" si="5"/>
        <v>0</v>
      </c>
    </row>
    <row r="28" spans="1:13" x14ac:dyDescent="0.25">
      <c r="A28" s="4"/>
      <c r="B28" s="4"/>
      <c r="C28" s="4"/>
      <c r="D28" s="4"/>
      <c r="E28" s="4"/>
      <c r="F28" s="4"/>
      <c r="H28">
        <f t="shared" si="3"/>
        <v>0</v>
      </c>
      <c r="I28">
        <f t="shared" si="0"/>
        <v>0</v>
      </c>
      <c r="J28">
        <f t="shared" si="1"/>
        <v>0</v>
      </c>
      <c r="K28">
        <f t="shared" si="2"/>
        <v>0</v>
      </c>
      <c r="L28">
        <f t="shared" si="4"/>
        <v>0</v>
      </c>
      <c r="M28">
        <f t="shared" si="5"/>
        <v>0</v>
      </c>
    </row>
    <row r="29" spans="1:13" x14ac:dyDescent="0.25">
      <c r="A29" s="4"/>
      <c r="B29" s="4"/>
      <c r="C29" s="4"/>
      <c r="D29" s="4"/>
      <c r="E29" s="4"/>
      <c r="F29" s="4"/>
      <c r="H29">
        <f t="shared" si="3"/>
        <v>0</v>
      </c>
      <c r="I29">
        <f t="shared" si="0"/>
        <v>0</v>
      </c>
      <c r="J29">
        <f t="shared" si="1"/>
        <v>0</v>
      </c>
      <c r="K29">
        <f t="shared" si="2"/>
        <v>0</v>
      </c>
      <c r="L29">
        <f t="shared" si="4"/>
        <v>0</v>
      </c>
      <c r="M29">
        <f t="shared" si="5"/>
        <v>0</v>
      </c>
    </row>
    <row r="30" spans="1:13" x14ac:dyDescent="0.25">
      <c r="A30" s="4"/>
      <c r="B30" s="4"/>
      <c r="C30" s="4"/>
      <c r="D30" s="4"/>
      <c r="E30" s="4"/>
      <c r="F30" s="4"/>
      <c r="H30">
        <f t="shared" si="3"/>
        <v>0</v>
      </c>
      <c r="I30">
        <f t="shared" si="0"/>
        <v>0</v>
      </c>
      <c r="J30">
        <f t="shared" si="1"/>
        <v>0</v>
      </c>
      <c r="K30">
        <f t="shared" si="2"/>
        <v>0</v>
      </c>
      <c r="L30">
        <f t="shared" si="4"/>
        <v>0</v>
      </c>
      <c r="M30">
        <f t="shared" si="5"/>
        <v>0</v>
      </c>
    </row>
    <row r="31" spans="1:13" x14ac:dyDescent="0.25">
      <c r="A31" s="4"/>
      <c r="B31" s="4"/>
      <c r="C31" s="4"/>
      <c r="D31" s="4"/>
      <c r="E31" s="4"/>
      <c r="F31" s="4"/>
      <c r="H31">
        <f t="shared" si="3"/>
        <v>0</v>
      </c>
      <c r="I31">
        <f t="shared" si="0"/>
        <v>0</v>
      </c>
      <c r="J31">
        <f t="shared" si="1"/>
        <v>0</v>
      </c>
      <c r="K31">
        <f t="shared" si="2"/>
        <v>0</v>
      </c>
      <c r="L31">
        <f t="shared" si="4"/>
        <v>0</v>
      </c>
      <c r="M31">
        <f t="shared" si="5"/>
        <v>0</v>
      </c>
    </row>
    <row r="32" spans="1:13" x14ac:dyDescent="0.25">
      <c r="A32" s="4"/>
      <c r="B32" s="4"/>
      <c r="C32" s="4"/>
      <c r="D32" s="4"/>
      <c r="E32" s="4"/>
      <c r="F32" s="4"/>
      <c r="H32">
        <f t="shared" si="3"/>
        <v>0</v>
      </c>
      <c r="I32">
        <f t="shared" si="0"/>
        <v>0</v>
      </c>
      <c r="J32">
        <f t="shared" si="1"/>
        <v>0</v>
      </c>
      <c r="K32">
        <f t="shared" si="2"/>
        <v>0</v>
      </c>
      <c r="L32">
        <f t="shared" si="4"/>
        <v>0</v>
      </c>
      <c r="M32">
        <f t="shared" si="5"/>
        <v>0</v>
      </c>
    </row>
    <row r="33" spans="1:13" x14ac:dyDescent="0.25">
      <c r="A33" s="4"/>
      <c r="B33" s="4"/>
      <c r="C33" s="4"/>
      <c r="D33" s="4"/>
      <c r="E33" s="4"/>
      <c r="F33" s="4"/>
      <c r="H33">
        <f t="shared" si="3"/>
        <v>0</v>
      </c>
      <c r="I33">
        <f t="shared" si="0"/>
        <v>0</v>
      </c>
      <c r="J33">
        <f t="shared" si="1"/>
        <v>0</v>
      </c>
      <c r="K33">
        <f t="shared" si="2"/>
        <v>0</v>
      </c>
      <c r="L33">
        <f t="shared" si="4"/>
        <v>0</v>
      </c>
      <c r="M33">
        <f t="shared" si="5"/>
        <v>0</v>
      </c>
    </row>
    <row r="34" spans="1:13" x14ac:dyDescent="0.25">
      <c r="A34" s="4"/>
      <c r="B34" s="4"/>
      <c r="C34" s="4"/>
      <c r="D34" s="4"/>
      <c r="E34" s="4"/>
      <c r="F34" s="4"/>
      <c r="H34">
        <f t="shared" si="3"/>
        <v>0</v>
      </c>
      <c r="I34">
        <f t="shared" si="0"/>
        <v>0</v>
      </c>
      <c r="J34">
        <f t="shared" si="1"/>
        <v>0</v>
      </c>
      <c r="K34">
        <f t="shared" si="2"/>
        <v>0</v>
      </c>
      <c r="L34">
        <f t="shared" si="4"/>
        <v>0</v>
      </c>
      <c r="M34">
        <f t="shared" si="5"/>
        <v>0</v>
      </c>
    </row>
    <row r="35" spans="1:13" x14ac:dyDescent="0.25">
      <c r="A35" s="4"/>
      <c r="B35" s="4"/>
      <c r="C35" s="4"/>
      <c r="D35" s="4"/>
      <c r="E35" s="4"/>
      <c r="F35" s="4"/>
      <c r="H35">
        <f t="shared" si="3"/>
        <v>0</v>
      </c>
      <c r="I35">
        <f t="shared" si="0"/>
        <v>0</v>
      </c>
      <c r="J35">
        <f t="shared" si="1"/>
        <v>0</v>
      </c>
      <c r="K35">
        <f t="shared" si="2"/>
        <v>0</v>
      </c>
      <c r="L35">
        <f t="shared" si="4"/>
        <v>0</v>
      </c>
      <c r="M35">
        <f t="shared" si="5"/>
        <v>0</v>
      </c>
    </row>
    <row r="36" spans="1:13" x14ac:dyDescent="0.25">
      <c r="A36" s="4"/>
      <c r="B36" s="4"/>
      <c r="C36" s="4"/>
      <c r="D36" s="4"/>
      <c r="E36" s="4"/>
      <c r="F36" s="4"/>
      <c r="H36">
        <f t="shared" si="3"/>
        <v>0</v>
      </c>
      <c r="I36">
        <f t="shared" si="0"/>
        <v>0</v>
      </c>
      <c r="J36">
        <f t="shared" si="1"/>
        <v>0</v>
      </c>
      <c r="K36">
        <f t="shared" si="2"/>
        <v>0</v>
      </c>
      <c r="L36">
        <f t="shared" si="4"/>
        <v>0</v>
      </c>
      <c r="M36">
        <f t="shared" si="5"/>
        <v>0</v>
      </c>
    </row>
    <row r="37" spans="1:13" x14ac:dyDescent="0.25">
      <c r="A37" s="4"/>
      <c r="B37" s="4"/>
      <c r="C37" s="4"/>
      <c r="D37" s="4"/>
      <c r="E37" s="4"/>
      <c r="F37" s="4"/>
      <c r="H37">
        <f t="shared" si="3"/>
        <v>0</v>
      </c>
      <c r="I37">
        <f t="shared" si="0"/>
        <v>0</v>
      </c>
      <c r="J37">
        <f t="shared" si="1"/>
        <v>0</v>
      </c>
      <c r="K37">
        <f t="shared" si="2"/>
        <v>0</v>
      </c>
      <c r="L37">
        <f t="shared" si="4"/>
        <v>0</v>
      </c>
      <c r="M37">
        <f t="shared" si="5"/>
        <v>0</v>
      </c>
    </row>
    <row r="38" spans="1:13" x14ac:dyDescent="0.25">
      <c r="A38" s="4"/>
      <c r="B38" s="4"/>
      <c r="C38" s="4"/>
      <c r="D38" s="4"/>
      <c r="E38" s="4"/>
      <c r="F38" s="4"/>
      <c r="H38">
        <f t="shared" si="3"/>
        <v>0</v>
      </c>
      <c r="I38">
        <f t="shared" si="0"/>
        <v>0</v>
      </c>
      <c r="J38">
        <f t="shared" si="1"/>
        <v>0</v>
      </c>
      <c r="K38">
        <f t="shared" si="2"/>
        <v>0</v>
      </c>
      <c r="L38">
        <f t="shared" si="4"/>
        <v>0</v>
      </c>
      <c r="M38">
        <f t="shared" si="5"/>
        <v>0</v>
      </c>
    </row>
    <row r="39" spans="1:13" x14ac:dyDescent="0.25">
      <c r="A39" s="4"/>
      <c r="B39" s="4"/>
      <c r="C39" s="4"/>
      <c r="D39" s="4"/>
      <c r="E39" s="4"/>
      <c r="F39" s="4"/>
      <c r="H39">
        <f t="shared" si="3"/>
        <v>0</v>
      </c>
      <c r="I39">
        <f t="shared" si="0"/>
        <v>0</v>
      </c>
      <c r="J39">
        <f t="shared" si="1"/>
        <v>0</v>
      </c>
      <c r="K39">
        <f t="shared" si="2"/>
        <v>0</v>
      </c>
      <c r="L39">
        <f t="shared" si="4"/>
        <v>0</v>
      </c>
      <c r="M39">
        <f t="shared" si="5"/>
        <v>0</v>
      </c>
    </row>
    <row r="40" spans="1:13" x14ac:dyDescent="0.25">
      <c r="A40" s="4"/>
      <c r="B40" s="4"/>
      <c r="C40" s="4"/>
      <c r="D40" s="4"/>
      <c r="E40" s="4"/>
      <c r="F40" s="4"/>
      <c r="H40">
        <f t="shared" si="3"/>
        <v>0</v>
      </c>
      <c r="I40">
        <f t="shared" si="0"/>
        <v>0</v>
      </c>
      <c r="J40">
        <f t="shared" si="1"/>
        <v>0</v>
      </c>
      <c r="K40">
        <f t="shared" si="2"/>
        <v>0</v>
      </c>
      <c r="L40">
        <f t="shared" si="4"/>
        <v>0</v>
      </c>
      <c r="M40">
        <f t="shared" si="5"/>
        <v>0</v>
      </c>
    </row>
    <row r="41" spans="1:13" x14ac:dyDescent="0.25">
      <c r="A41" s="4"/>
      <c r="B41" s="4"/>
      <c r="C41" s="4"/>
      <c r="D41" s="4"/>
      <c r="E41" s="4"/>
      <c r="F41" s="4"/>
      <c r="H41">
        <f t="shared" si="3"/>
        <v>0</v>
      </c>
      <c r="I41">
        <f t="shared" si="0"/>
        <v>0</v>
      </c>
      <c r="J41">
        <f t="shared" si="1"/>
        <v>0</v>
      </c>
      <c r="K41">
        <f t="shared" si="2"/>
        <v>0</v>
      </c>
      <c r="L41">
        <f t="shared" si="4"/>
        <v>0</v>
      </c>
      <c r="M41">
        <f t="shared" si="5"/>
        <v>0</v>
      </c>
    </row>
    <row r="42" spans="1:13" x14ac:dyDescent="0.25">
      <c r="A42" s="4"/>
      <c r="B42" s="4"/>
      <c r="C42" s="4"/>
      <c r="D42" s="4"/>
      <c r="E42" s="4"/>
      <c r="F42" s="4"/>
      <c r="H42">
        <f t="shared" si="3"/>
        <v>0</v>
      </c>
      <c r="I42">
        <f t="shared" si="0"/>
        <v>0</v>
      </c>
      <c r="J42">
        <f t="shared" si="1"/>
        <v>0</v>
      </c>
      <c r="K42">
        <f t="shared" si="2"/>
        <v>0</v>
      </c>
      <c r="L42">
        <f t="shared" si="4"/>
        <v>0</v>
      </c>
      <c r="M42">
        <f t="shared" si="5"/>
        <v>0</v>
      </c>
    </row>
    <row r="43" spans="1:13" x14ac:dyDescent="0.25">
      <c r="A43" s="4"/>
      <c r="B43" s="4"/>
      <c r="C43" s="4"/>
      <c r="D43" s="4"/>
      <c r="E43" s="4"/>
      <c r="F43" s="4"/>
      <c r="H43">
        <f t="shared" si="3"/>
        <v>0</v>
      </c>
      <c r="I43">
        <f t="shared" si="0"/>
        <v>0</v>
      </c>
      <c r="J43">
        <f t="shared" si="1"/>
        <v>0</v>
      </c>
      <c r="K43">
        <f t="shared" si="2"/>
        <v>0</v>
      </c>
      <c r="L43">
        <f t="shared" si="4"/>
        <v>0</v>
      </c>
      <c r="M43">
        <f t="shared" si="5"/>
        <v>0</v>
      </c>
    </row>
    <row r="44" spans="1:13" x14ac:dyDescent="0.25">
      <c r="A44" s="4"/>
      <c r="B44" s="4"/>
      <c r="C44" s="4"/>
      <c r="D44" s="4"/>
      <c r="E44" s="4"/>
      <c r="F44" s="4"/>
      <c r="H44">
        <f t="shared" si="3"/>
        <v>0</v>
      </c>
      <c r="I44">
        <f t="shared" si="0"/>
        <v>0</v>
      </c>
      <c r="J44">
        <f t="shared" si="1"/>
        <v>0</v>
      </c>
      <c r="K44">
        <f t="shared" si="2"/>
        <v>0</v>
      </c>
      <c r="L44">
        <f t="shared" si="4"/>
        <v>0</v>
      </c>
      <c r="M44">
        <f t="shared" si="5"/>
        <v>0</v>
      </c>
    </row>
    <row r="45" spans="1:13" x14ac:dyDescent="0.25">
      <c r="A45" s="4"/>
      <c r="B45" s="4"/>
      <c r="C45" s="4"/>
      <c r="D45" s="4"/>
      <c r="E45" s="4"/>
      <c r="F45" s="4"/>
      <c r="H45">
        <f t="shared" si="3"/>
        <v>0</v>
      </c>
      <c r="I45">
        <f t="shared" si="0"/>
        <v>0</v>
      </c>
      <c r="J45">
        <f t="shared" si="1"/>
        <v>0</v>
      </c>
      <c r="K45">
        <f t="shared" si="2"/>
        <v>0</v>
      </c>
      <c r="L45">
        <f t="shared" si="4"/>
        <v>0</v>
      </c>
      <c r="M45">
        <f t="shared" si="5"/>
        <v>0</v>
      </c>
    </row>
    <row r="46" spans="1:13" x14ac:dyDescent="0.25">
      <c r="A46" s="4"/>
      <c r="B46" s="4"/>
      <c r="C46" s="4"/>
      <c r="D46" s="4"/>
      <c r="E46" s="4"/>
      <c r="F46" s="4"/>
      <c r="H46">
        <f t="shared" si="3"/>
        <v>0</v>
      </c>
      <c r="I46">
        <f t="shared" si="0"/>
        <v>0</v>
      </c>
      <c r="J46">
        <f t="shared" si="1"/>
        <v>0</v>
      </c>
      <c r="K46">
        <f t="shared" si="2"/>
        <v>0</v>
      </c>
      <c r="L46">
        <f t="shared" si="4"/>
        <v>0</v>
      </c>
      <c r="M46">
        <f t="shared" si="5"/>
        <v>0</v>
      </c>
    </row>
    <row r="47" spans="1:13" x14ac:dyDescent="0.25">
      <c r="A47" s="4"/>
      <c r="B47" s="4"/>
      <c r="C47" s="4"/>
      <c r="D47" s="4"/>
      <c r="E47" s="4"/>
      <c r="F47" s="4"/>
      <c r="H47">
        <f t="shared" si="3"/>
        <v>0</v>
      </c>
      <c r="I47">
        <f t="shared" si="0"/>
        <v>0</v>
      </c>
      <c r="J47">
        <f t="shared" si="1"/>
        <v>0</v>
      </c>
      <c r="K47">
        <f t="shared" si="2"/>
        <v>0</v>
      </c>
      <c r="L47">
        <f t="shared" si="4"/>
        <v>0</v>
      </c>
      <c r="M47">
        <f t="shared" si="5"/>
        <v>0</v>
      </c>
    </row>
    <row r="48" spans="1:13" x14ac:dyDescent="0.25">
      <c r="A48" s="4"/>
      <c r="B48" s="4"/>
      <c r="C48" s="4"/>
      <c r="D48" s="4"/>
      <c r="E48" s="4"/>
      <c r="F48" s="4"/>
      <c r="H48">
        <f t="shared" si="3"/>
        <v>0</v>
      </c>
      <c r="I48">
        <f t="shared" si="0"/>
        <v>0</v>
      </c>
      <c r="J48">
        <f t="shared" si="1"/>
        <v>0</v>
      </c>
      <c r="K48">
        <f t="shared" si="2"/>
        <v>0</v>
      </c>
      <c r="L48">
        <f t="shared" si="4"/>
        <v>0</v>
      </c>
      <c r="M48">
        <f t="shared" si="5"/>
        <v>0</v>
      </c>
    </row>
    <row r="49" spans="1:13" x14ac:dyDescent="0.25">
      <c r="A49" s="4"/>
      <c r="B49" s="4"/>
      <c r="C49" s="4"/>
      <c r="D49" s="4"/>
      <c r="E49" s="4"/>
      <c r="F49" s="4"/>
      <c r="H49">
        <f t="shared" si="3"/>
        <v>0</v>
      </c>
      <c r="I49">
        <f t="shared" si="0"/>
        <v>0</v>
      </c>
      <c r="J49">
        <f t="shared" si="1"/>
        <v>0</v>
      </c>
      <c r="K49">
        <f t="shared" si="2"/>
        <v>0</v>
      </c>
      <c r="L49">
        <f t="shared" si="4"/>
        <v>0</v>
      </c>
      <c r="M49">
        <f t="shared" si="5"/>
        <v>0</v>
      </c>
    </row>
    <row r="50" spans="1:13" x14ac:dyDescent="0.25">
      <c r="A50" s="4"/>
      <c r="B50" s="4"/>
      <c r="C50" s="4"/>
      <c r="D50" s="4"/>
      <c r="E50" s="4"/>
      <c r="F50" s="4"/>
      <c r="H50">
        <f t="shared" si="3"/>
        <v>0</v>
      </c>
      <c r="I50">
        <f t="shared" si="0"/>
        <v>0</v>
      </c>
      <c r="J50">
        <f t="shared" si="1"/>
        <v>0</v>
      </c>
      <c r="K50">
        <f t="shared" si="2"/>
        <v>0</v>
      </c>
      <c r="L50">
        <f t="shared" si="4"/>
        <v>0</v>
      </c>
      <c r="M50">
        <f t="shared" si="5"/>
        <v>0</v>
      </c>
    </row>
    <row r="51" spans="1:13" x14ac:dyDescent="0.25">
      <c r="A51" s="4"/>
      <c r="B51" s="4"/>
      <c r="C51" s="4"/>
      <c r="D51" s="4"/>
      <c r="E51" s="4"/>
      <c r="F51" s="4"/>
      <c r="H51">
        <f t="shared" si="3"/>
        <v>0</v>
      </c>
      <c r="I51">
        <f t="shared" si="0"/>
        <v>0</v>
      </c>
      <c r="J51">
        <f t="shared" si="1"/>
        <v>0</v>
      </c>
      <c r="K51">
        <f t="shared" si="2"/>
        <v>0</v>
      </c>
      <c r="L51">
        <f t="shared" si="4"/>
        <v>0</v>
      </c>
      <c r="M51">
        <f t="shared" si="5"/>
        <v>0</v>
      </c>
    </row>
    <row r="52" spans="1:13" x14ac:dyDescent="0.25">
      <c r="A52" s="4"/>
      <c r="B52" s="4"/>
      <c r="C52" s="4"/>
      <c r="D52" s="4"/>
      <c r="E52" s="4"/>
      <c r="F52" s="4"/>
      <c r="H52">
        <f t="shared" si="3"/>
        <v>0</v>
      </c>
      <c r="I52">
        <f t="shared" si="0"/>
        <v>0</v>
      </c>
      <c r="J52">
        <f t="shared" si="1"/>
        <v>0</v>
      </c>
      <c r="K52">
        <f t="shared" si="2"/>
        <v>0</v>
      </c>
      <c r="L52">
        <f t="shared" si="4"/>
        <v>0</v>
      </c>
      <c r="M52">
        <f t="shared" si="5"/>
        <v>0</v>
      </c>
    </row>
    <row r="53" spans="1:13" x14ac:dyDescent="0.25">
      <c r="A53" s="4"/>
      <c r="B53" s="4"/>
      <c r="C53" s="4"/>
      <c r="D53" s="4"/>
      <c r="E53" s="4"/>
      <c r="F53" s="4"/>
      <c r="H53">
        <f t="shared" si="3"/>
        <v>0</v>
      </c>
      <c r="I53">
        <f t="shared" si="0"/>
        <v>0</v>
      </c>
      <c r="J53">
        <f t="shared" si="1"/>
        <v>0</v>
      </c>
      <c r="K53">
        <f t="shared" si="2"/>
        <v>0</v>
      </c>
      <c r="L53">
        <f t="shared" si="4"/>
        <v>0</v>
      </c>
      <c r="M53">
        <f t="shared" si="5"/>
        <v>0</v>
      </c>
    </row>
    <row r="54" spans="1:13" x14ac:dyDescent="0.25">
      <c r="A54" s="4"/>
      <c r="B54" s="4"/>
      <c r="C54" s="4"/>
      <c r="D54" s="4"/>
      <c r="E54" s="4"/>
      <c r="F54" s="4"/>
      <c r="H54">
        <f t="shared" si="3"/>
        <v>0</v>
      </c>
      <c r="I54">
        <f t="shared" si="0"/>
        <v>0</v>
      </c>
      <c r="J54">
        <f t="shared" si="1"/>
        <v>0</v>
      </c>
      <c r="K54">
        <f t="shared" si="2"/>
        <v>0</v>
      </c>
      <c r="L54">
        <f t="shared" si="4"/>
        <v>0</v>
      </c>
      <c r="M54">
        <f t="shared" si="5"/>
        <v>0</v>
      </c>
    </row>
    <row r="55" spans="1:13" x14ac:dyDescent="0.25">
      <c r="A55" s="4"/>
      <c r="B55" s="4"/>
      <c r="C55" s="4"/>
      <c r="D55" s="4"/>
      <c r="E55" s="4"/>
      <c r="F55" s="4"/>
      <c r="H55">
        <f t="shared" si="3"/>
        <v>0</v>
      </c>
      <c r="I55">
        <f t="shared" si="0"/>
        <v>0</v>
      </c>
      <c r="J55">
        <f t="shared" si="1"/>
        <v>0</v>
      </c>
      <c r="K55">
        <f t="shared" si="2"/>
        <v>0</v>
      </c>
      <c r="L55">
        <f t="shared" si="4"/>
        <v>0</v>
      </c>
      <c r="M55">
        <f t="shared" si="5"/>
        <v>0</v>
      </c>
    </row>
    <row r="56" spans="1:13" x14ac:dyDescent="0.25">
      <c r="A56" s="4"/>
      <c r="B56" s="4"/>
      <c r="C56" s="4"/>
      <c r="D56" s="4"/>
      <c r="E56" s="4"/>
      <c r="F56" s="4"/>
      <c r="H56">
        <f t="shared" si="3"/>
        <v>0</v>
      </c>
      <c r="I56">
        <f t="shared" si="0"/>
        <v>0</v>
      </c>
      <c r="J56">
        <f t="shared" si="1"/>
        <v>0</v>
      </c>
      <c r="K56">
        <f t="shared" si="2"/>
        <v>0</v>
      </c>
      <c r="L56">
        <f t="shared" si="4"/>
        <v>0</v>
      </c>
      <c r="M56">
        <f t="shared" si="5"/>
        <v>0</v>
      </c>
    </row>
    <row r="57" spans="1:13" x14ac:dyDescent="0.25">
      <c r="A57" s="4"/>
      <c r="B57" s="4"/>
      <c r="C57" s="4"/>
      <c r="D57" s="4"/>
      <c r="E57" s="4"/>
      <c r="F57" s="4"/>
      <c r="H57">
        <f t="shared" si="3"/>
        <v>0</v>
      </c>
      <c r="I57">
        <f t="shared" si="0"/>
        <v>0</v>
      </c>
      <c r="J57">
        <f t="shared" si="1"/>
        <v>0</v>
      </c>
      <c r="K57">
        <f t="shared" si="2"/>
        <v>0</v>
      </c>
      <c r="L57">
        <f t="shared" si="4"/>
        <v>0</v>
      </c>
      <c r="M57">
        <f t="shared" si="5"/>
        <v>0</v>
      </c>
    </row>
    <row r="58" spans="1:13" x14ac:dyDescent="0.25">
      <c r="A58" s="4"/>
      <c r="B58" s="4"/>
      <c r="C58" s="4"/>
      <c r="D58" s="4"/>
      <c r="E58" s="4"/>
      <c r="F58" s="4"/>
      <c r="H58">
        <f t="shared" si="3"/>
        <v>0</v>
      </c>
      <c r="I58">
        <f t="shared" si="0"/>
        <v>0</v>
      </c>
      <c r="J58">
        <f t="shared" si="1"/>
        <v>0</v>
      </c>
      <c r="K58">
        <f t="shared" si="2"/>
        <v>0</v>
      </c>
      <c r="L58">
        <f t="shared" si="4"/>
        <v>0</v>
      </c>
      <c r="M58">
        <f t="shared" si="5"/>
        <v>0</v>
      </c>
    </row>
    <row r="59" spans="1:13" x14ac:dyDescent="0.25">
      <c r="A59" s="4"/>
      <c r="B59" s="4"/>
      <c r="C59" s="4"/>
      <c r="D59" s="4"/>
      <c r="E59" s="4"/>
      <c r="F59" s="4"/>
      <c r="H59">
        <f t="shared" si="3"/>
        <v>0</v>
      </c>
      <c r="I59">
        <f t="shared" si="0"/>
        <v>0</v>
      </c>
      <c r="J59">
        <f t="shared" si="1"/>
        <v>0</v>
      </c>
      <c r="K59">
        <f t="shared" si="2"/>
        <v>0</v>
      </c>
      <c r="L59">
        <f t="shared" si="4"/>
        <v>0</v>
      </c>
      <c r="M59">
        <f t="shared" si="5"/>
        <v>0</v>
      </c>
    </row>
    <row r="60" spans="1:13" x14ac:dyDescent="0.25">
      <c r="A60" s="4"/>
      <c r="B60" s="4"/>
      <c r="C60" s="4"/>
      <c r="D60" s="4"/>
      <c r="E60" s="4"/>
      <c r="F60" s="4"/>
      <c r="H60">
        <f t="shared" si="3"/>
        <v>0</v>
      </c>
      <c r="I60">
        <f t="shared" si="0"/>
        <v>0</v>
      </c>
      <c r="J60">
        <f t="shared" si="1"/>
        <v>0</v>
      </c>
      <c r="K60">
        <f t="shared" si="2"/>
        <v>0</v>
      </c>
      <c r="L60">
        <f t="shared" si="4"/>
        <v>0</v>
      </c>
      <c r="M60">
        <f t="shared" si="5"/>
        <v>0</v>
      </c>
    </row>
    <row r="61" spans="1:13" x14ac:dyDescent="0.25">
      <c r="A61" s="4"/>
      <c r="B61" s="4"/>
      <c r="C61" s="4"/>
      <c r="D61" s="4"/>
      <c r="E61" s="4"/>
      <c r="F61" s="4"/>
      <c r="H61">
        <f t="shared" si="3"/>
        <v>0</v>
      </c>
      <c r="I61">
        <f t="shared" si="0"/>
        <v>0</v>
      </c>
      <c r="J61">
        <f t="shared" si="1"/>
        <v>0</v>
      </c>
      <c r="K61">
        <f t="shared" si="2"/>
        <v>0</v>
      </c>
      <c r="L61">
        <f t="shared" si="4"/>
        <v>0</v>
      </c>
      <c r="M61">
        <f t="shared" si="5"/>
        <v>0</v>
      </c>
    </row>
    <row r="62" spans="1:13" x14ac:dyDescent="0.25">
      <c r="A62" s="4"/>
      <c r="B62" s="4"/>
      <c r="C62" s="4"/>
      <c r="D62" s="4"/>
      <c r="E62" s="4"/>
      <c r="F62" s="4"/>
      <c r="H62">
        <f t="shared" si="3"/>
        <v>0</v>
      </c>
      <c r="I62">
        <f t="shared" si="0"/>
        <v>0</v>
      </c>
      <c r="J62">
        <f t="shared" si="1"/>
        <v>0</v>
      </c>
      <c r="K62">
        <f t="shared" si="2"/>
        <v>0</v>
      </c>
      <c r="L62">
        <f t="shared" si="4"/>
        <v>0</v>
      </c>
      <c r="M62">
        <f t="shared" si="5"/>
        <v>0</v>
      </c>
    </row>
    <row r="63" spans="1:13" x14ac:dyDescent="0.25">
      <c r="A63" s="4"/>
      <c r="B63" s="4"/>
      <c r="C63" s="4"/>
      <c r="D63" s="4"/>
      <c r="E63" s="4"/>
      <c r="F63" s="4"/>
      <c r="H63">
        <f t="shared" si="3"/>
        <v>0</v>
      </c>
      <c r="I63">
        <f t="shared" si="0"/>
        <v>0</v>
      </c>
      <c r="J63">
        <f t="shared" si="1"/>
        <v>0</v>
      </c>
      <c r="K63">
        <f t="shared" si="2"/>
        <v>0</v>
      </c>
      <c r="L63">
        <f t="shared" si="4"/>
        <v>0</v>
      </c>
      <c r="M63">
        <f t="shared" si="5"/>
        <v>0</v>
      </c>
    </row>
    <row r="64" spans="1:13" x14ac:dyDescent="0.25">
      <c r="A64" s="4"/>
      <c r="B64" s="4"/>
      <c r="C64" s="4"/>
      <c r="D64" s="4"/>
      <c r="E64" s="4"/>
      <c r="F64" s="4"/>
      <c r="H64">
        <f t="shared" si="3"/>
        <v>0</v>
      </c>
      <c r="I64">
        <f t="shared" si="0"/>
        <v>0</v>
      </c>
      <c r="J64">
        <f t="shared" si="1"/>
        <v>0</v>
      </c>
      <c r="K64">
        <f t="shared" si="2"/>
        <v>0</v>
      </c>
      <c r="L64">
        <f t="shared" si="4"/>
        <v>0</v>
      </c>
      <c r="M64">
        <f t="shared" si="5"/>
        <v>0</v>
      </c>
    </row>
    <row r="65" spans="1:13" x14ac:dyDescent="0.25">
      <c r="A65" s="4"/>
      <c r="B65" s="4"/>
      <c r="C65" s="4"/>
      <c r="D65" s="4"/>
      <c r="E65" s="4"/>
      <c r="F65" s="4"/>
      <c r="H65">
        <f t="shared" si="3"/>
        <v>0</v>
      </c>
      <c r="I65">
        <f t="shared" si="0"/>
        <v>0</v>
      </c>
      <c r="J65">
        <f t="shared" si="1"/>
        <v>0</v>
      </c>
      <c r="K65">
        <f t="shared" si="2"/>
        <v>0</v>
      </c>
      <c r="L65">
        <f t="shared" si="4"/>
        <v>0</v>
      </c>
      <c r="M65">
        <f t="shared" si="5"/>
        <v>0</v>
      </c>
    </row>
    <row r="66" spans="1:13" x14ac:dyDescent="0.25">
      <c r="A66" s="4"/>
      <c r="B66" s="4"/>
      <c r="C66" s="4"/>
      <c r="D66" s="4"/>
      <c r="E66" s="4"/>
      <c r="F66" s="4"/>
      <c r="H66">
        <f t="shared" si="3"/>
        <v>0</v>
      </c>
      <c r="I66">
        <f t="shared" ref="I66:I129" si="6">C66*$I$1</f>
        <v>0</v>
      </c>
      <c r="J66">
        <f t="shared" ref="J66:J129" si="7">D66*$J$1</f>
        <v>0</v>
      </c>
      <c r="K66">
        <f t="shared" ref="K66:K129" si="8">E66*$K$1</f>
        <v>0</v>
      </c>
      <c r="L66">
        <f t="shared" si="4"/>
        <v>0</v>
      </c>
      <c r="M66">
        <f t="shared" si="5"/>
        <v>0</v>
      </c>
    </row>
    <row r="67" spans="1:13" x14ac:dyDescent="0.25">
      <c r="A67" s="4"/>
      <c r="B67" s="4"/>
      <c r="C67" s="4"/>
      <c r="D67" s="4"/>
      <c r="E67" s="4"/>
      <c r="F67" s="4"/>
      <c r="H67">
        <f t="shared" ref="H67:H130" si="9">B67*$H$1</f>
        <v>0</v>
      </c>
      <c r="I67">
        <f t="shared" si="6"/>
        <v>0</v>
      </c>
      <c r="J67">
        <f t="shared" si="7"/>
        <v>0</v>
      </c>
      <c r="K67">
        <f t="shared" si="8"/>
        <v>0</v>
      </c>
      <c r="L67">
        <f t="shared" ref="L67:L130" si="10">F67*$L$1</f>
        <v>0</v>
      </c>
      <c r="M67">
        <f t="shared" ref="M67:M130" si="11">SUM(H67:L67)</f>
        <v>0</v>
      </c>
    </row>
    <row r="68" spans="1:13" x14ac:dyDescent="0.25">
      <c r="A68" s="4"/>
      <c r="B68" s="4"/>
      <c r="C68" s="4"/>
      <c r="D68" s="4"/>
      <c r="E68" s="4"/>
      <c r="F68" s="4"/>
      <c r="H68">
        <f t="shared" si="9"/>
        <v>0</v>
      </c>
      <c r="I68">
        <f t="shared" si="6"/>
        <v>0</v>
      </c>
      <c r="J68">
        <f t="shared" si="7"/>
        <v>0</v>
      </c>
      <c r="K68">
        <f t="shared" si="8"/>
        <v>0</v>
      </c>
      <c r="L68">
        <f t="shared" si="10"/>
        <v>0</v>
      </c>
      <c r="M68">
        <f t="shared" si="11"/>
        <v>0</v>
      </c>
    </row>
    <row r="69" spans="1:13" x14ac:dyDescent="0.25">
      <c r="A69" s="4"/>
      <c r="B69" s="4"/>
      <c r="C69" s="4"/>
      <c r="D69" s="4"/>
      <c r="E69" s="4"/>
      <c r="F69" s="4"/>
      <c r="H69">
        <f t="shared" si="9"/>
        <v>0</v>
      </c>
      <c r="I69">
        <f t="shared" si="6"/>
        <v>0</v>
      </c>
      <c r="J69">
        <f t="shared" si="7"/>
        <v>0</v>
      </c>
      <c r="K69">
        <f t="shared" si="8"/>
        <v>0</v>
      </c>
      <c r="L69">
        <f t="shared" si="10"/>
        <v>0</v>
      </c>
      <c r="M69">
        <f t="shared" si="11"/>
        <v>0</v>
      </c>
    </row>
    <row r="70" spans="1:13" x14ac:dyDescent="0.25">
      <c r="A70" s="4"/>
      <c r="B70" s="4"/>
      <c r="C70" s="4"/>
      <c r="D70" s="4"/>
      <c r="E70" s="4"/>
      <c r="F70" s="4"/>
      <c r="H70">
        <f t="shared" si="9"/>
        <v>0</v>
      </c>
      <c r="I70">
        <f t="shared" si="6"/>
        <v>0</v>
      </c>
      <c r="J70">
        <f t="shared" si="7"/>
        <v>0</v>
      </c>
      <c r="K70">
        <f t="shared" si="8"/>
        <v>0</v>
      </c>
      <c r="L70">
        <f t="shared" si="10"/>
        <v>0</v>
      </c>
      <c r="M70">
        <f t="shared" si="11"/>
        <v>0</v>
      </c>
    </row>
    <row r="71" spans="1:13" x14ac:dyDescent="0.25">
      <c r="A71" s="4"/>
      <c r="B71" s="4"/>
      <c r="C71" s="4"/>
      <c r="D71" s="4"/>
      <c r="E71" s="4"/>
      <c r="F71" s="4"/>
      <c r="H71">
        <f t="shared" si="9"/>
        <v>0</v>
      </c>
      <c r="I71">
        <f t="shared" si="6"/>
        <v>0</v>
      </c>
      <c r="J71">
        <f t="shared" si="7"/>
        <v>0</v>
      </c>
      <c r="K71">
        <f t="shared" si="8"/>
        <v>0</v>
      </c>
      <c r="L71">
        <f t="shared" si="10"/>
        <v>0</v>
      </c>
      <c r="M71">
        <f t="shared" si="11"/>
        <v>0</v>
      </c>
    </row>
    <row r="72" spans="1:13" x14ac:dyDescent="0.25">
      <c r="A72" s="4"/>
      <c r="B72" s="4"/>
      <c r="C72" s="4"/>
      <c r="D72" s="4"/>
      <c r="E72" s="4"/>
      <c r="F72" s="4"/>
      <c r="H72">
        <f t="shared" si="9"/>
        <v>0</v>
      </c>
      <c r="I72">
        <f t="shared" si="6"/>
        <v>0</v>
      </c>
      <c r="J72">
        <f t="shared" si="7"/>
        <v>0</v>
      </c>
      <c r="K72">
        <f t="shared" si="8"/>
        <v>0</v>
      </c>
      <c r="L72">
        <f t="shared" si="10"/>
        <v>0</v>
      </c>
      <c r="M72">
        <f t="shared" si="11"/>
        <v>0</v>
      </c>
    </row>
    <row r="73" spans="1:13" x14ac:dyDescent="0.25">
      <c r="A73" s="4"/>
      <c r="B73" s="4"/>
      <c r="C73" s="4"/>
      <c r="D73" s="4"/>
      <c r="E73" s="4"/>
      <c r="F73" s="4"/>
      <c r="H73">
        <f t="shared" si="9"/>
        <v>0</v>
      </c>
      <c r="I73">
        <f t="shared" si="6"/>
        <v>0</v>
      </c>
      <c r="J73">
        <f t="shared" si="7"/>
        <v>0</v>
      </c>
      <c r="K73">
        <f t="shared" si="8"/>
        <v>0</v>
      </c>
      <c r="L73">
        <f t="shared" si="10"/>
        <v>0</v>
      </c>
      <c r="M73">
        <f t="shared" si="11"/>
        <v>0</v>
      </c>
    </row>
    <row r="74" spans="1:13" x14ac:dyDescent="0.25">
      <c r="A74" s="4"/>
      <c r="B74" s="4"/>
      <c r="C74" s="4"/>
      <c r="D74" s="4"/>
      <c r="E74" s="4"/>
      <c r="F74" s="4"/>
      <c r="H74">
        <f t="shared" si="9"/>
        <v>0</v>
      </c>
      <c r="I74">
        <f t="shared" si="6"/>
        <v>0</v>
      </c>
      <c r="J74">
        <f t="shared" si="7"/>
        <v>0</v>
      </c>
      <c r="K74">
        <f t="shared" si="8"/>
        <v>0</v>
      </c>
      <c r="L74">
        <f t="shared" si="10"/>
        <v>0</v>
      </c>
      <c r="M74">
        <f t="shared" si="11"/>
        <v>0</v>
      </c>
    </row>
    <row r="75" spans="1:13" x14ac:dyDescent="0.25">
      <c r="A75" s="4"/>
      <c r="B75" s="4"/>
      <c r="C75" s="4"/>
      <c r="D75" s="4"/>
      <c r="E75" s="4"/>
      <c r="F75" s="4"/>
      <c r="H75">
        <f t="shared" si="9"/>
        <v>0</v>
      </c>
      <c r="I75">
        <f t="shared" si="6"/>
        <v>0</v>
      </c>
      <c r="J75">
        <f t="shared" si="7"/>
        <v>0</v>
      </c>
      <c r="K75">
        <f t="shared" si="8"/>
        <v>0</v>
      </c>
      <c r="L75">
        <f t="shared" si="10"/>
        <v>0</v>
      </c>
      <c r="M75">
        <f t="shared" si="11"/>
        <v>0</v>
      </c>
    </row>
    <row r="76" spans="1:13" x14ac:dyDescent="0.25">
      <c r="A76" s="4"/>
      <c r="B76" s="4"/>
      <c r="C76" s="4"/>
      <c r="D76" s="4"/>
      <c r="E76" s="4"/>
      <c r="F76" s="4"/>
      <c r="H76">
        <f t="shared" si="9"/>
        <v>0</v>
      </c>
      <c r="I76">
        <f t="shared" si="6"/>
        <v>0</v>
      </c>
      <c r="J76">
        <f t="shared" si="7"/>
        <v>0</v>
      </c>
      <c r="K76">
        <f t="shared" si="8"/>
        <v>0</v>
      </c>
      <c r="L76">
        <f t="shared" si="10"/>
        <v>0</v>
      </c>
      <c r="M76">
        <f t="shared" si="11"/>
        <v>0</v>
      </c>
    </row>
    <row r="77" spans="1:13" x14ac:dyDescent="0.25">
      <c r="A77" s="4"/>
      <c r="B77" s="4"/>
      <c r="C77" s="4"/>
      <c r="D77" s="4"/>
      <c r="E77" s="4"/>
      <c r="F77" s="4"/>
      <c r="H77">
        <f t="shared" si="9"/>
        <v>0</v>
      </c>
      <c r="I77">
        <f t="shared" si="6"/>
        <v>0</v>
      </c>
      <c r="J77">
        <f t="shared" si="7"/>
        <v>0</v>
      </c>
      <c r="K77">
        <f t="shared" si="8"/>
        <v>0</v>
      </c>
      <c r="L77">
        <f t="shared" si="10"/>
        <v>0</v>
      </c>
      <c r="M77">
        <f t="shared" si="11"/>
        <v>0</v>
      </c>
    </row>
    <row r="78" spans="1:13" x14ac:dyDescent="0.25">
      <c r="A78" s="4"/>
      <c r="B78" s="4"/>
      <c r="C78" s="4"/>
      <c r="D78" s="4"/>
      <c r="E78" s="4"/>
      <c r="F78" s="4"/>
      <c r="H78">
        <f t="shared" si="9"/>
        <v>0</v>
      </c>
      <c r="I78">
        <f t="shared" si="6"/>
        <v>0</v>
      </c>
      <c r="J78">
        <f t="shared" si="7"/>
        <v>0</v>
      </c>
      <c r="K78">
        <f t="shared" si="8"/>
        <v>0</v>
      </c>
      <c r="L78">
        <f t="shared" si="10"/>
        <v>0</v>
      </c>
      <c r="M78">
        <f t="shared" si="11"/>
        <v>0</v>
      </c>
    </row>
    <row r="79" spans="1:13" x14ac:dyDescent="0.25">
      <c r="A79" s="4"/>
      <c r="B79" s="4"/>
      <c r="C79" s="4"/>
      <c r="D79" s="4"/>
      <c r="E79" s="4"/>
      <c r="F79" s="4"/>
      <c r="H79">
        <f t="shared" si="9"/>
        <v>0</v>
      </c>
      <c r="I79">
        <f t="shared" si="6"/>
        <v>0</v>
      </c>
      <c r="J79">
        <f t="shared" si="7"/>
        <v>0</v>
      </c>
      <c r="K79">
        <f t="shared" si="8"/>
        <v>0</v>
      </c>
      <c r="L79">
        <f t="shared" si="10"/>
        <v>0</v>
      </c>
      <c r="M79">
        <f t="shared" si="11"/>
        <v>0</v>
      </c>
    </row>
    <row r="80" spans="1:13" x14ac:dyDescent="0.25">
      <c r="A80" s="4"/>
      <c r="B80" s="4"/>
      <c r="C80" s="4"/>
      <c r="D80" s="4"/>
      <c r="E80" s="4"/>
      <c r="F80" s="4"/>
      <c r="H80">
        <f t="shared" si="9"/>
        <v>0</v>
      </c>
      <c r="I80">
        <f t="shared" si="6"/>
        <v>0</v>
      </c>
      <c r="J80">
        <f t="shared" si="7"/>
        <v>0</v>
      </c>
      <c r="K80">
        <f t="shared" si="8"/>
        <v>0</v>
      </c>
      <c r="L80">
        <f t="shared" si="10"/>
        <v>0</v>
      </c>
      <c r="M80">
        <f t="shared" si="11"/>
        <v>0</v>
      </c>
    </row>
    <row r="81" spans="1:13" x14ac:dyDescent="0.25">
      <c r="A81" s="4"/>
      <c r="B81" s="4"/>
      <c r="C81" s="4"/>
      <c r="D81" s="4"/>
      <c r="E81" s="4"/>
      <c r="F81" s="4"/>
      <c r="H81">
        <f t="shared" si="9"/>
        <v>0</v>
      </c>
      <c r="I81">
        <f t="shared" si="6"/>
        <v>0</v>
      </c>
      <c r="J81">
        <f t="shared" si="7"/>
        <v>0</v>
      </c>
      <c r="K81">
        <f t="shared" si="8"/>
        <v>0</v>
      </c>
      <c r="L81">
        <f t="shared" si="10"/>
        <v>0</v>
      </c>
      <c r="M81">
        <f t="shared" si="11"/>
        <v>0</v>
      </c>
    </row>
    <row r="82" spans="1:13" x14ac:dyDescent="0.25">
      <c r="A82" s="4"/>
      <c r="B82" s="4"/>
      <c r="C82" s="4"/>
      <c r="D82" s="4"/>
      <c r="E82" s="4"/>
      <c r="F82" s="4"/>
      <c r="H82">
        <f t="shared" si="9"/>
        <v>0</v>
      </c>
      <c r="I82">
        <f t="shared" si="6"/>
        <v>0</v>
      </c>
      <c r="J82">
        <f t="shared" si="7"/>
        <v>0</v>
      </c>
      <c r="K82">
        <f t="shared" si="8"/>
        <v>0</v>
      </c>
      <c r="L82">
        <f t="shared" si="10"/>
        <v>0</v>
      </c>
      <c r="M82">
        <f t="shared" si="11"/>
        <v>0</v>
      </c>
    </row>
    <row r="83" spans="1:13" x14ac:dyDescent="0.25">
      <c r="A83" s="4"/>
      <c r="B83" s="4"/>
      <c r="C83" s="4"/>
      <c r="D83" s="4"/>
      <c r="E83" s="4"/>
      <c r="F83" s="4"/>
      <c r="H83">
        <f t="shared" si="9"/>
        <v>0</v>
      </c>
      <c r="I83">
        <f t="shared" si="6"/>
        <v>0</v>
      </c>
      <c r="J83">
        <f t="shared" si="7"/>
        <v>0</v>
      </c>
      <c r="K83">
        <f t="shared" si="8"/>
        <v>0</v>
      </c>
      <c r="L83">
        <f t="shared" si="10"/>
        <v>0</v>
      </c>
      <c r="M83">
        <f t="shared" si="11"/>
        <v>0</v>
      </c>
    </row>
    <row r="84" spans="1:13" x14ac:dyDescent="0.25">
      <c r="A84" s="4"/>
      <c r="B84" s="4"/>
      <c r="C84" s="4"/>
      <c r="D84" s="4"/>
      <c r="E84" s="4"/>
      <c r="F84" s="4"/>
      <c r="H84">
        <f t="shared" si="9"/>
        <v>0</v>
      </c>
      <c r="I84">
        <f t="shared" si="6"/>
        <v>0</v>
      </c>
      <c r="J84">
        <f t="shared" si="7"/>
        <v>0</v>
      </c>
      <c r="K84">
        <f t="shared" si="8"/>
        <v>0</v>
      </c>
      <c r="L84">
        <f t="shared" si="10"/>
        <v>0</v>
      </c>
      <c r="M84">
        <f t="shared" si="11"/>
        <v>0</v>
      </c>
    </row>
    <row r="85" spans="1:13" x14ac:dyDescent="0.25">
      <c r="A85" s="4"/>
      <c r="B85" s="4"/>
      <c r="C85" s="4"/>
      <c r="D85" s="4"/>
      <c r="E85" s="4"/>
      <c r="F85" s="4"/>
      <c r="H85">
        <f t="shared" si="9"/>
        <v>0</v>
      </c>
      <c r="I85">
        <f t="shared" si="6"/>
        <v>0</v>
      </c>
      <c r="J85">
        <f t="shared" si="7"/>
        <v>0</v>
      </c>
      <c r="K85">
        <f t="shared" si="8"/>
        <v>0</v>
      </c>
      <c r="L85">
        <f t="shared" si="10"/>
        <v>0</v>
      </c>
      <c r="M85">
        <f t="shared" si="11"/>
        <v>0</v>
      </c>
    </row>
    <row r="86" spans="1:13" x14ac:dyDescent="0.25">
      <c r="A86" s="4"/>
      <c r="B86" s="4"/>
      <c r="C86" s="4"/>
      <c r="D86" s="4"/>
      <c r="E86" s="4"/>
      <c r="F86" s="4"/>
      <c r="H86">
        <f t="shared" si="9"/>
        <v>0</v>
      </c>
      <c r="I86">
        <f t="shared" si="6"/>
        <v>0</v>
      </c>
      <c r="J86">
        <f t="shared" si="7"/>
        <v>0</v>
      </c>
      <c r="K86">
        <f t="shared" si="8"/>
        <v>0</v>
      </c>
      <c r="L86">
        <f t="shared" si="10"/>
        <v>0</v>
      </c>
      <c r="M86">
        <f t="shared" si="11"/>
        <v>0</v>
      </c>
    </row>
    <row r="87" spans="1:13" x14ac:dyDescent="0.25">
      <c r="A87" s="4"/>
      <c r="B87" s="4"/>
      <c r="C87" s="4"/>
      <c r="D87" s="4"/>
      <c r="E87" s="4"/>
      <c r="F87" s="4"/>
      <c r="H87">
        <f t="shared" si="9"/>
        <v>0</v>
      </c>
      <c r="I87">
        <f t="shared" si="6"/>
        <v>0</v>
      </c>
      <c r="J87">
        <f t="shared" si="7"/>
        <v>0</v>
      </c>
      <c r="K87">
        <f t="shared" si="8"/>
        <v>0</v>
      </c>
      <c r="L87">
        <f t="shared" si="10"/>
        <v>0</v>
      </c>
      <c r="M87">
        <f t="shared" si="11"/>
        <v>0</v>
      </c>
    </row>
    <row r="88" spans="1:13" x14ac:dyDescent="0.25">
      <c r="A88" s="4"/>
      <c r="B88" s="4"/>
      <c r="C88" s="4"/>
      <c r="D88" s="4"/>
      <c r="E88" s="4"/>
      <c r="F88" s="4"/>
      <c r="H88">
        <f t="shared" si="9"/>
        <v>0</v>
      </c>
      <c r="I88">
        <f t="shared" si="6"/>
        <v>0</v>
      </c>
      <c r="J88">
        <f t="shared" si="7"/>
        <v>0</v>
      </c>
      <c r="K88">
        <f t="shared" si="8"/>
        <v>0</v>
      </c>
      <c r="L88">
        <f t="shared" si="10"/>
        <v>0</v>
      </c>
      <c r="M88">
        <f t="shared" si="11"/>
        <v>0</v>
      </c>
    </row>
    <row r="89" spans="1:13" x14ac:dyDescent="0.25">
      <c r="A89" s="4"/>
      <c r="B89" s="4"/>
      <c r="C89" s="4"/>
      <c r="D89" s="4"/>
      <c r="E89" s="4"/>
      <c r="F89" s="4"/>
      <c r="H89">
        <f t="shared" si="9"/>
        <v>0</v>
      </c>
      <c r="I89">
        <f t="shared" si="6"/>
        <v>0</v>
      </c>
      <c r="J89">
        <f t="shared" si="7"/>
        <v>0</v>
      </c>
      <c r="K89">
        <f t="shared" si="8"/>
        <v>0</v>
      </c>
      <c r="L89">
        <f t="shared" si="10"/>
        <v>0</v>
      </c>
      <c r="M89">
        <f t="shared" si="11"/>
        <v>0</v>
      </c>
    </row>
    <row r="90" spans="1:13" x14ac:dyDescent="0.25">
      <c r="A90" s="4"/>
      <c r="B90" s="4"/>
      <c r="C90" s="4"/>
      <c r="D90" s="4"/>
      <c r="E90" s="4"/>
      <c r="F90" s="4"/>
      <c r="H90">
        <f t="shared" si="9"/>
        <v>0</v>
      </c>
      <c r="I90">
        <f t="shared" si="6"/>
        <v>0</v>
      </c>
      <c r="J90">
        <f t="shared" si="7"/>
        <v>0</v>
      </c>
      <c r="K90">
        <f t="shared" si="8"/>
        <v>0</v>
      </c>
      <c r="L90">
        <f t="shared" si="10"/>
        <v>0</v>
      </c>
      <c r="M90">
        <f t="shared" si="11"/>
        <v>0</v>
      </c>
    </row>
    <row r="91" spans="1:13" x14ac:dyDescent="0.25">
      <c r="A91" s="4"/>
      <c r="B91" s="4"/>
      <c r="C91" s="4"/>
      <c r="D91" s="4"/>
      <c r="E91" s="4"/>
      <c r="F91" s="4"/>
      <c r="H91">
        <f t="shared" si="9"/>
        <v>0</v>
      </c>
      <c r="I91">
        <f t="shared" si="6"/>
        <v>0</v>
      </c>
      <c r="J91">
        <f t="shared" si="7"/>
        <v>0</v>
      </c>
      <c r="K91">
        <f t="shared" si="8"/>
        <v>0</v>
      </c>
      <c r="L91">
        <f t="shared" si="10"/>
        <v>0</v>
      </c>
      <c r="M91">
        <f t="shared" si="11"/>
        <v>0</v>
      </c>
    </row>
    <row r="92" spans="1:13" x14ac:dyDescent="0.25">
      <c r="A92" s="4"/>
      <c r="B92" s="4"/>
      <c r="C92" s="4"/>
      <c r="D92" s="4"/>
      <c r="E92" s="4"/>
      <c r="F92" s="4"/>
      <c r="H92">
        <f t="shared" si="9"/>
        <v>0</v>
      </c>
      <c r="I92">
        <f t="shared" si="6"/>
        <v>0</v>
      </c>
      <c r="J92">
        <f t="shared" si="7"/>
        <v>0</v>
      </c>
      <c r="K92">
        <f t="shared" si="8"/>
        <v>0</v>
      </c>
      <c r="L92">
        <f t="shared" si="10"/>
        <v>0</v>
      </c>
      <c r="M92">
        <f t="shared" si="11"/>
        <v>0</v>
      </c>
    </row>
    <row r="93" spans="1:13" x14ac:dyDescent="0.25">
      <c r="A93" s="4"/>
      <c r="B93" s="4"/>
      <c r="C93" s="4"/>
      <c r="D93" s="4"/>
      <c r="E93" s="4"/>
      <c r="F93" s="4"/>
      <c r="H93">
        <f t="shared" si="9"/>
        <v>0</v>
      </c>
      <c r="I93">
        <f t="shared" si="6"/>
        <v>0</v>
      </c>
      <c r="J93">
        <f t="shared" si="7"/>
        <v>0</v>
      </c>
      <c r="K93">
        <f t="shared" si="8"/>
        <v>0</v>
      </c>
      <c r="L93">
        <f t="shared" si="10"/>
        <v>0</v>
      </c>
      <c r="M93">
        <f t="shared" si="11"/>
        <v>0</v>
      </c>
    </row>
    <row r="94" spans="1:13" x14ac:dyDescent="0.25">
      <c r="A94" s="4"/>
      <c r="B94" s="4"/>
      <c r="C94" s="4"/>
      <c r="D94" s="4"/>
      <c r="E94" s="4"/>
      <c r="F94" s="4"/>
      <c r="H94">
        <f t="shared" si="9"/>
        <v>0</v>
      </c>
      <c r="I94">
        <f t="shared" si="6"/>
        <v>0</v>
      </c>
      <c r="J94">
        <f t="shared" si="7"/>
        <v>0</v>
      </c>
      <c r="K94">
        <f t="shared" si="8"/>
        <v>0</v>
      </c>
      <c r="L94">
        <f t="shared" si="10"/>
        <v>0</v>
      </c>
      <c r="M94">
        <f t="shared" si="11"/>
        <v>0</v>
      </c>
    </row>
    <row r="95" spans="1:13" x14ac:dyDescent="0.25">
      <c r="A95" s="4"/>
      <c r="B95" s="4"/>
      <c r="C95" s="4"/>
      <c r="D95" s="4"/>
      <c r="E95" s="4"/>
      <c r="F95" s="4"/>
      <c r="H95">
        <f t="shared" si="9"/>
        <v>0</v>
      </c>
      <c r="I95">
        <f t="shared" si="6"/>
        <v>0</v>
      </c>
      <c r="J95">
        <f t="shared" si="7"/>
        <v>0</v>
      </c>
      <c r="K95">
        <f t="shared" si="8"/>
        <v>0</v>
      </c>
      <c r="L95">
        <f t="shared" si="10"/>
        <v>0</v>
      </c>
      <c r="M95">
        <f t="shared" si="11"/>
        <v>0</v>
      </c>
    </row>
    <row r="96" spans="1:13" x14ac:dyDescent="0.25">
      <c r="A96" s="4"/>
      <c r="B96" s="4"/>
      <c r="C96" s="4"/>
      <c r="D96" s="4"/>
      <c r="E96" s="4"/>
      <c r="F96" s="4"/>
      <c r="H96">
        <f t="shared" si="9"/>
        <v>0</v>
      </c>
      <c r="I96">
        <f t="shared" si="6"/>
        <v>0</v>
      </c>
      <c r="J96">
        <f t="shared" si="7"/>
        <v>0</v>
      </c>
      <c r="K96">
        <f t="shared" si="8"/>
        <v>0</v>
      </c>
      <c r="L96">
        <f t="shared" si="10"/>
        <v>0</v>
      </c>
      <c r="M96">
        <f t="shared" si="11"/>
        <v>0</v>
      </c>
    </row>
    <row r="97" spans="1:13" x14ac:dyDescent="0.25">
      <c r="A97" s="4"/>
      <c r="B97" s="4"/>
      <c r="C97" s="4"/>
      <c r="D97" s="4"/>
      <c r="E97" s="4"/>
      <c r="F97" s="4"/>
      <c r="H97">
        <f t="shared" si="9"/>
        <v>0</v>
      </c>
      <c r="I97">
        <f t="shared" si="6"/>
        <v>0</v>
      </c>
      <c r="J97">
        <f t="shared" si="7"/>
        <v>0</v>
      </c>
      <c r="K97">
        <f t="shared" si="8"/>
        <v>0</v>
      </c>
      <c r="L97">
        <f t="shared" si="10"/>
        <v>0</v>
      </c>
      <c r="M97">
        <f t="shared" si="11"/>
        <v>0</v>
      </c>
    </row>
    <row r="98" spans="1:13" x14ac:dyDescent="0.25">
      <c r="A98" s="4"/>
      <c r="B98" s="4"/>
      <c r="C98" s="4"/>
      <c r="D98" s="4"/>
      <c r="E98" s="4"/>
      <c r="F98" s="4"/>
      <c r="H98">
        <f t="shared" si="9"/>
        <v>0</v>
      </c>
      <c r="I98">
        <f t="shared" si="6"/>
        <v>0</v>
      </c>
      <c r="J98">
        <f t="shared" si="7"/>
        <v>0</v>
      </c>
      <c r="K98">
        <f t="shared" si="8"/>
        <v>0</v>
      </c>
      <c r="L98">
        <f t="shared" si="10"/>
        <v>0</v>
      </c>
      <c r="M98">
        <f t="shared" si="11"/>
        <v>0</v>
      </c>
    </row>
    <row r="99" spans="1:13" x14ac:dyDescent="0.25">
      <c r="A99" s="4"/>
      <c r="B99" s="4"/>
      <c r="C99" s="4"/>
      <c r="D99" s="4"/>
      <c r="E99" s="4"/>
      <c r="F99" s="4"/>
      <c r="H99">
        <f t="shared" si="9"/>
        <v>0</v>
      </c>
      <c r="I99">
        <f t="shared" si="6"/>
        <v>0</v>
      </c>
      <c r="J99">
        <f t="shared" si="7"/>
        <v>0</v>
      </c>
      <c r="K99">
        <f t="shared" si="8"/>
        <v>0</v>
      </c>
      <c r="L99">
        <f t="shared" si="10"/>
        <v>0</v>
      </c>
      <c r="M99">
        <f t="shared" si="11"/>
        <v>0</v>
      </c>
    </row>
    <row r="100" spans="1:13" x14ac:dyDescent="0.25">
      <c r="A100" s="4"/>
      <c r="B100" s="4"/>
      <c r="C100" s="4"/>
      <c r="D100" s="4"/>
      <c r="E100" s="4"/>
      <c r="F100" s="4"/>
      <c r="H100">
        <f t="shared" si="9"/>
        <v>0</v>
      </c>
      <c r="I100">
        <f t="shared" si="6"/>
        <v>0</v>
      </c>
      <c r="J100">
        <f t="shared" si="7"/>
        <v>0</v>
      </c>
      <c r="K100">
        <f t="shared" si="8"/>
        <v>0</v>
      </c>
      <c r="L100">
        <f t="shared" si="10"/>
        <v>0</v>
      </c>
      <c r="M100">
        <f t="shared" si="11"/>
        <v>0</v>
      </c>
    </row>
    <row r="101" spans="1:13" x14ac:dyDescent="0.25">
      <c r="A101" s="4"/>
      <c r="B101" s="4"/>
      <c r="C101" s="4"/>
      <c r="D101" s="4"/>
      <c r="E101" s="4"/>
      <c r="F101" s="4"/>
      <c r="H101">
        <f t="shared" si="9"/>
        <v>0</v>
      </c>
      <c r="I101">
        <f t="shared" si="6"/>
        <v>0</v>
      </c>
      <c r="J101">
        <f t="shared" si="7"/>
        <v>0</v>
      </c>
      <c r="K101">
        <f t="shared" si="8"/>
        <v>0</v>
      </c>
      <c r="L101">
        <f t="shared" si="10"/>
        <v>0</v>
      </c>
      <c r="M101">
        <f t="shared" si="11"/>
        <v>0</v>
      </c>
    </row>
    <row r="102" spans="1:13" x14ac:dyDescent="0.25">
      <c r="A102" s="4"/>
      <c r="B102" s="4"/>
      <c r="C102" s="4"/>
      <c r="D102" s="4"/>
      <c r="E102" s="4"/>
      <c r="F102" s="4"/>
      <c r="H102">
        <f t="shared" si="9"/>
        <v>0</v>
      </c>
      <c r="I102">
        <f t="shared" si="6"/>
        <v>0</v>
      </c>
      <c r="J102">
        <f t="shared" si="7"/>
        <v>0</v>
      </c>
      <c r="K102">
        <f t="shared" si="8"/>
        <v>0</v>
      </c>
      <c r="L102">
        <f t="shared" si="10"/>
        <v>0</v>
      </c>
      <c r="M102">
        <f t="shared" si="11"/>
        <v>0</v>
      </c>
    </row>
    <row r="103" spans="1:13" x14ac:dyDescent="0.25">
      <c r="A103" s="4"/>
      <c r="B103" s="4"/>
      <c r="C103" s="4"/>
      <c r="D103" s="4"/>
      <c r="E103" s="4"/>
      <c r="F103" s="4"/>
      <c r="H103">
        <f t="shared" si="9"/>
        <v>0</v>
      </c>
      <c r="I103">
        <f t="shared" si="6"/>
        <v>0</v>
      </c>
      <c r="J103">
        <f t="shared" si="7"/>
        <v>0</v>
      </c>
      <c r="K103">
        <f t="shared" si="8"/>
        <v>0</v>
      </c>
      <c r="L103">
        <f t="shared" si="10"/>
        <v>0</v>
      </c>
      <c r="M103">
        <f t="shared" si="11"/>
        <v>0</v>
      </c>
    </row>
    <row r="104" spans="1:13" x14ac:dyDescent="0.25">
      <c r="A104" s="4"/>
      <c r="B104" s="4"/>
      <c r="C104" s="4"/>
      <c r="D104" s="4"/>
      <c r="E104" s="4"/>
      <c r="F104" s="4"/>
      <c r="H104">
        <f t="shared" si="9"/>
        <v>0</v>
      </c>
      <c r="I104">
        <f t="shared" si="6"/>
        <v>0</v>
      </c>
      <c r="J104">
        <f t="shared" si="7"/>
        <v>0</v>
      </c>
      <c r="K104">
        <f t="shared" si="8"/>
        <v>0</v>
      </c>
      <c r="L104">
        <f t="shared" si="10"/>
        <v>0</v>
      </c>
      <c r="M104">
        <f t="shared" si="11"/>
        <v>0</v>
      </c>
    </row>
    <row r="105" spans="1:13" x14ac:dyDescent="0.25">
      <c r="A105" s="4"/>
      <c r="B105" s="4"/>
      <c r="C105" s="4"/>
      <c r="D105" s="4"/>
      <c r="E105" s="4"/>
      <c r="F105" s="4"/>
      <c r="H105">
        <f t="shared" si="9"/>
        <v>0</v>
      </c>
      <c r="I105">
        <f t="shared" si="6"/>
        <v>0</v>
      </c>
      <c r="J105">
        <f t="shared" si="7"/>
        <v>0</v>
      </c>
      <c r="K105">
        <f t="shared" si="8"/>
        <v>0</v>
      </c>
      <c r="L105">
        <f t="shared" si="10"/>
        <v>0</v>
      </c>
      <c r="M105">
        <f t="shared" si="11"/>
        <v>0</v>
      </c>
    </row>
    <row r="106" spans="1:13" x14ac:dyDescent="0.25">
      <c r="A106" s="4"/>
      <c r="B106" s="4"/>
      <c r="C106" s="4"/>
      <c r="D106" s="4"/>
      <c r="E106" s="4"/>
      <c r="F106" s="4"/>
      <c r="H106">
        <f t="shared" si="9"/>
        <v>0</v>
      </c>
      <c r="I106">
        <f t="shared" si="6"/>
        <v>0</v>
      </c>
      <c r="J106">
        <f t="shared" si="7"/>
        <v>0</v>
      </c>
      <c r="K106">
        <f t="shared" si="8"/>
        <v>0</v>
      </c>
      <c r="L106">
        <f t="shared" si="10"/>
        <v>0</v>
      </c>
      <c r="M106">
        <f t="shared" si="11"/>
        <v>0</v>
      </c>
    </row>
    <row r="107" spans="1:13" x14ac:dyDescent="0.25">
      <c r="A107" s="4"/>
      <c r="B107" s="4"/>
      <c r="C107" s="4"/>
      <c r="D107" s="4"/>
      <c r="E107" s="4"/>
      <c r="F107" s="4"/>
      <c r="H107">
        <f t="shared" si="9"/>
        <v>0</v>
      </c>
      <c r="I107">
        <f t="shared" si="6"/>
        <v>0</v>
      </c>
      <c r="J107">
        <f t="shared" si="7"/>
        <v>0</v>
      </c>
      <c r="K107">
        <f t="shared" si="8"/>
        <v>0</v>
      </c>
      <c r="L107">
        <f t="shared" si="10"/>
        <v>0</v>
      </c>
      <c r="M107">
        <f t="shared" si="11"/>
        <v>0</v>
      </c>
    </row>
    <row r="108" spans="1:13" x14ac:dyDescent="0.25">
      <c r="A108" s="4"/>
      <c r="B108" s="4"/>
      <c r="C108" s="4"/>
      <c r="D108" s="4"/>
      <c r="E108" s="4"/>
      <c r="F108" s="4"/>
      <c r="H108">
        <f t="shared" si="9"/>
        <v>0</v>
      </c>
      <c r="I108">
        <f t="shared" si="6"/>
        <v>0</v>
      </c>
      <c r="J108">
        <f t="shared" si="7"/>
        <v>0</v>
      </c>
      <c r="K108">
        <f t="shared" si="8"/>
        <v>0</v>
      </c>
      <c r="L108">
        <f t="shared" si="10"/>
        <v>0</v>
      </c>
      <c r="M108">
        <f t="shared" si="11"/>
        <v>0</v>
      </c>
    </row>
    <row r="109" spans="1:13" x14ac:dyDescent="0.25">
      <c r="A109" s="4"/>
      <c r="B109" s="4"/>
      <c r="C109" s="4"/>
      <c r="D109" s="4"/>
      <c r="E109" s="4"/>
      <c r="F109" s="4"/>
      <c r="H109">
        <f t="shared" si="9"/>
        <v>0</v>
      </c>
      <c r="I109">
        <f t="shared" si="6"/>
        <v>0</v>
      </c>
      <c r="J109">
        <f t="shared" si="7"/>
        <v>0</v>
      </c>
      <c r="K109">
        <f t="shared" si="8"/>
        <v>0</v>
      </c>
      <c r="L109">
        <f t="shared" si="10"/>
        <v>0</v>
      </c>
      <c r="M109">
        <f t="shared" si="11"/>
        <v>0</v>
      </c>
    </row>
    <row r="110" spans="1:13" x14ac:dyDescent="0.25">
      <c r="A110" s="4"/>
      <c r="B110" s="4"/>
      <c r="C110" s="4"/>
      <c r="D110" s="4"/>
      <c r="E110" s="4"/>
      <c r="F110" s="4"/>
      <c r="H110">
        <f t="shared" si="9"/>
        <v>0</v>
      </c>
      <c r="I110">
        <f t="shared" si="6"/>
        <v>0</v>
      </c>
      <c r="J110">
        <f t="shared" si="7"/>
        <v>0</v>
      </c>
      <c r="K110">
        <f t="shared" si="8"/>
        <v>0</v>
      </c>
      <c r="L110">
        <f t="shared" si="10"/>
        <v>0</v>
      </c>
      <c r="M110">
        <f t="shared" si="11"/>
        <v>0</v>
      </c>
    </row>
    <row r="111" spans="1:13" x14ac:dyDescent="0.25">
      <c r="A111" s="4"/>
      <c r="B111" s="4"/>
      <c r="C111" s="4"/>
      <c r="D111" s="4"/>
      <c r="E111" s="4"/>
      <c r="F111" s="4"/>
      <c r="H111">
        <f t="shared" si="9"/>
        <v>0</v>
      </c>
      <c r="I111">
        <f t="shared" si="6"/>
        <v>0</v>
      </c>
      <c r="J111">
        <f t="shared" si="7"/>
        <v>0</v>
      </c>
      <c r="K111">
        <f t="shared" si="8"/>
        <v>0</v>
      </c>
      <c r="L111">
        <f t="shared" si="10"/>
        <v>0</v>
      </c>
      <c r="M111">
        <f t="shared" si="11"/>
        <v>0</v>
      </c>
    </row>
    <row r="112" spans="1:13" x14ac:dyDescent="0.25">
      <c r="A112" s="4"/>
      <c r="B112" s="4"/>
      <c r="C112" s="4"/>
      <c r="D112" s="4"/>
      <c r="E112" s="4"/>
      <c r="F112" s="4"/>
      <c r="H112">
        <f t="shared" si="9"/>
        <v>0</v>
      </c>
      <c r="I112">
        <f t="shared" si="6"/>
        <v>0</v>
      </c>
      <c r="J112">
        <f t="shared" si="7"/>
        <v>0</v>
      </c>
      <c r="K112">
        <f t="shared" si="8"/>
        <v>0</v>
      </c>
      <c r="L112">
        <f t="shared" si="10"/>
        <v>0</v>
      </c>
      <c r="M112">
        <f t="shared" si="11"/>
        <v>0</v>
      </c>
    </row>
    <row r="113" spans="1:13" x14ac:dyDescent="0.25">
      <c r="A113" s="4"/>
      <c r="B113" s="4"/>
      <c r="C113" s="4"/>
      <c r="D113" s="4"/>
      <c r="E113" s="4"/>
      <c r="F113" s="4"/>
      <c r="H113">
        <f t="shared" si="9"/>
        <v>0</v>
      </c>
      <c r="I113">
        <f t="shared" si="6"/>
        <v>0</v>
      </c>
      <c r="J113">
        <f t="shared" si="7"/>
        <v>0</v>
      </c>
      <c r="K113">
        <f t="shared" si="8"/>
        <v>0</v>
      </c>
      <c r="L113">
        <f t="shared" si="10"/>
        <v>0</v>
      </c>
      <c r="M113">
        <f t="shared" si="11"/>
        <v>0</v>
      </c>
    </row>
    <row r="114" spans="1:13" x14ac:dyDescent="0.25">
      <c r="A114" s="4"/>
      <c r="B114" s="4"/>
      <c r="C114" s="4"/>
      <c r="D114" s="4"/>
      <c r="E114" s="4"/>
      <c r="F114" s="4"/>
      <c r="H114">
        <f t="shared" si="9"/>
        <v>0</v>
      </c>
      <c r="I114">
        <f t="shared" si="6"/>
        <v>0</v>
      </c>
      <c r="J114">
        <f t="shared" si="7"/>
        <v>0</v>
      </c>
      <c r="K114">
        <f t="shared" si="8"/>
        <v>0</v>
      </c>
      <c r="L114">
        <f t="shared" si="10"/>
        <v>0</v>
      </c>
      <c r="M114">
        <f t="shared" si="11"/>
        <v>0</v>
      </c>
    </row>
    <row r="115" spans="1:13" x14ac:dyDescent="0.25">
      <c r="A115" s="4"/>
      <c r="B115" s="4"/>
      <c r="C115" s="4"/>
      <c r="D115" s="4"/>
      <c r="E115" s="4"/>
      <c r="F115" s="4"/>
      <c r="H115">
        <f t="shared" si="9"/>
        <v>0</v>
      </c>
      <c r="I115">
        <f t="shared" si="6"/>
        <v>0</v>
      </c>
      <c r="J115">
        <f t="shared" si="7"/>
        <v>0</v>
      </c>
      <c r="K115">
        <f t="shared" si="8"/>
        <v>0</v>
      </c>
      <c r="L115">
        <f t="shared" si="10"/>
        <v>0</v>
      </c>
      <c r="M115">
        <f t="shared" si="11"/>
        <v>0</v>
      </c>
    </row>
    <row r="116" spans="1:13" x14ac:dyDescent="0.25">
      <c r="A116" s="4"/>
      <c r="B116" s="4"/>
      <c r="C116" s="4"/>
      <c r="D116" s="4"/>
      <c r="E116" s="4"/>
      <c r="F116" s="4"/>
      <c r="H116">
        <f t="shared" si="9"/>
        <v>0</v>
      </c>
      <c r="I116">
        <f t="shared" si="6"/>
        <v>0</v>
      </c>
      <c r="J116">
        <f t="shared" si="7"/>
        <v>0</v>
      </c>
      <c r="K116">
        <f t="shared" si="8"/>
        <v>0</v>
      </c>
      <c r="L116">
        <f t="shared" si="10"/>
        <v>0</v>
      </c>
      <c r="M116">
        <f t="shared" si="11"/>
        <v>0</v>
      </c>
    </row>
    <row r="117" spans="1:13" x14ac:dyDescent="0.25">
      <c r="A117" s="4"/>
      <c r="B117" s="4"/>
      <c r="C117" s="4"/>
      <c r="D117" s="4"/>
      <c r="E117" s="4"/>
      <c r="F117" s="4"/>
      <c r="H117">
        <f t="shared" si="9"/>
        <v>0</v>
      </c>
      <c r="I117">
        <f t="shared" si="6"/>
        <v>0</v>
      </c>
      <c r="J117">
        <f t="shared" si="7"/>
        <v>0</v>
      </c>
      <c r="K117">
        <f t="shared" si="8"/>
        <v>0</v>
      </c>
      <c r="L117">
        <f t="shared" si="10"/>
        <v>0</v>
      </c>
      <c r="M117">
        <f t="shared" si="11"/>
        <v>0</v>
      </c>
    </row>
    <row r="118" spans="1:13" x14ac:dyDescent="0.25">
      <c r="A118" s="4"/>
      <c r="B118" s="4"/>
      <c r="C118" s="4"/>
      <c r="D118" s="4"/>
      <c r="E118" s="4"/>
      <c r="F118" s="4"/>
      <c r="H118">
        <f t="shared" si="9"/>
        <v>0</v>
      </c>
      <c r="I118">
        <f t="shared" si="6"/>
        <v>0</v>
      </c>
      <c r="J118">
        <f t="shared" si="7"/>
        <v>0</v>
      </c>
      <c r="K118">
        <f t="shared" si="8"/>
        <v>0</v>
      </c>
      <c r="L118">
        <f t="shared" si="10"/>
        <v>0</v>
      </c>
      <c r="M118">
        <f t="shared" si="11"/>
        <v>0</v>
      </c>
    </row>
    <row r="119" spans="1:13" x14ac:dyDescent="0.25">
      <c r="A119" s="4"/>
      <c r="B119" s="4"/>
      <c r="C119" s="4"/>
      <c r="D119" s="4"/>
      <c r="E119" s="4"/>
      <c r="F119" s="4"/>
      <c r="H119">
        <f t="shared" si="9"/>
        <v>0</v>
      </c>
      <c r="I119">
        <f t="shared" si="6"/>
        <v>0</v>
      </c>
      <c r="J119">
        <f t="shared" si="7"/>
        <v>0</v>
      </c>
      <c r="K119">
        <f t="shared" si="8"/>
        <v>0</v>
      </c>
      <c r="L119">
        <f t="shared" si="10"/>
        <v>0</v>
      </c>
      <c r="M119">
        <f t="shared" si="11"/>
        <v>0</v>
      </c>
    </row>
    <row r="120" spans="1:13" x14ac:dyDescent="0.25">
      <c r="A120" s="4"/>
      <c r="B120" s="4"/>
      <c r="C120" s="4"/>
      <c r="D120" s="4"/>
      <c r="E120" s="4"/>
      <c r="F120" s="4"/>
      <c r="H120">
        <f t="shared" si="9"/>
        <v>0</v>
      </c>
      <c r="I120">
        <f t="shared" si="6"/>
        <v>0</v>
      </c>
      <c r="J120">
        <f t="shared" si="7"/>
        <v>0</v>
      </c>
      <c r="K120">
        <f t="shared" si="8"/>
        <v>0</v>
      </c>
      <c r="L120">
        <f t="shared" si="10"/>
        <v>0</v>
      </c>
      <c r="M120">
        <f t="shared" si="11"/>
        <v>0</v>
      </c>
    </row>
    <row r="121" spans="1:13" x14ac:dyDescent="0.25">
      <c r="A121" s="4"/>
      <c r="B121" s="4"/>
      <c r="C121" s="4"/>
      <c r="D121" s="4"/>
      <c r="E121" s="4"/>
      <c r="F121" s="4"/>
      <c r="H121">
        <f t="shared" si="9"/>
        <v>0</v>
      </c>
      <c r="I121">
        <f t="shared" si="6"/>
        <v>0</v>
      </c>
      <c r="J121">
        <f t="shared" si="7"/>
        <v>0</v>
      </c>
      <c r="K121">
        <f t="shared" si="8"/>
        <v>0</v>
      </c>
      <c r="L121">
        <f t="shared" si="10"/>
        <v>0</v>
      </c>
      <c r="M121">
        <f t="shared" si="11"/>
        <v>0</v>
      </c>
    </row>
    <row r="122" spans="1:13" x14ac:dyDescent="0.25">
      <c r="A122" s="4"/>
      <c r="B122" s="4"/>
      <c r="C122" s="4"/>
      <c r="D122" s="4"/>
      <c r="E122" s="4"/>
      <c r="F122" s="4"/>
      <c r="H122">
        <f t="shared" si="9"/>
        <v>0</v>
      </c>
      <c r="I122">
        <f t="shared" si="6"/>
        <v>0</v>
      </c>
      <c r="J122">
        <f t="shared" si="7"/>
        <v>0</v>
      </c>
      <c r="K122">
        <f t="shared" si="8"/>
        <v>0</v>
      </c>
      <c r="L122">
        <f t="shared" si="10"/>
        <v>0</v>
      </c>
      <c r="M122">
        <f t="shared" si="11"/>
        <v>0</v>
      </c>
    </row>
    <row r="123" spans="1:13" x14ac:dyDescent="0.25">
      <c r="A123" s="4"/>
      <c r="B123" s="4"/>
      <c r="C123" s="4"/>
      <c r="D123" s="4"/>
      <c r="E123" s="4"/>
      <c r="F123" s="4"/>
      <c r="H123">
        <f t="shared" si="9"/>
        <v>0</v>
      </c>
      <c r="I123">
        <f t="shared" si="6"/>
        <v>0</v>
      </c>
      <c r="J123">
        <f t="shared" si="7"/>
        <v>0</v>
      </c>
      <c r="K123">
        <f t="shared" si="8"/>
        <v>0</v>
      </c>
      <c r="L123">
        <f t="shared" si="10"/>
        <v>0</v>
      </c>
      <c r="M123">
        <f t="shared" si="11"/>
        <v>0</v>
      </c>
    </row>
    <row r="124" spans="1:13" x14ac:dyDescent="0.25">
      <c r="A124" s="4"/>
      <c r="B124" s="4"/>
      <c r="C124" s="4"/>
      <c r="D124" s="4"/>
      <c r="E124" s="4"/>
      <c r="F124" s="4"/>
      <c r="H124">
        <f t="shared" si="9"/>
        <v>0</v>
      </c>
      <c r="I124">
        <f t="shared" si="6"/>
        <v>0</v>
      </c>
      <c r="J124">
        <f t="shared" si="7"/>
        <v>0</v>
      </c>
      <c r="K124">
        <f t="shared" si="8"/>
        <v>0</v>
      </c>
      <c r="L124">
        <f t="shared" si="10"/>
        <v>0</v>
      </c>
      <c r="M124">
        <f t="shared" si="11"/>
        <v>0</v>
      </c>
    </row>
    <row r="125" spans="1:13" x14ac:dyDescent="0.25">
      <c r="A125" s="4"/>
      <c r="B125" s="4"/>
      <c r="C125" s="4"/>
      <c r="D125" s="4"/>
      <c r="E125" s="4"/>
      <c r="F125" s="4"/>
      <c r="H125">
        <f t="shared" si="9"/>
        <v>0</v>
      </c>
      <c r="I125">
        <f t="shared" si="6"/>
        <v>0</v>
      </c>
      <c r="J125">
        <f t="shared" si="7"/>
        <v>0</v>
      </c>
      <c r="K125">
        <f t="shared" si="8"/>
        <v>0</v>
      </c>
      <c r="L125">
        <f t="shared" si="10"/>
        <v>0</v>
      </c>
      <c r="M125">
        <f t="shared" si="11"/>
        <v>0</v>
      </c>
    </row>
    <row r="126" spans="1:13" x14ac:dyDescent="0.25">
      <c r="A126" s="4"/>
      <c r="B126" s="4"/>
      <c r="C126" s="4"/>
      <c r="D126" s="4"/>
      <c r="E126" s="4"/>
      <c r="F126" s="4"/>
      <c r="H126">
        <f t="shared" si="9"/>
        <v>0</v>
      </c>
      <c r="I126">
        <f t="shared" si="6"/>
        <v>0</v>
      </c>
      <c r="J126">
        <f t="shared" si="7"/>
        <v>0</v>
      </c>
      <c r="K126">
        <f t="shared" si="8"/>
        <v>0</v>
      </c>
      <c r="L126">
        <f t="shared" si="10"/>
        <v>0</v>
      </c>
      <c r="M126">
        <f t="shared" si="11"/>
        <v>0</v>
      </c>
    </row>
    <row r="127" spans="1:13" x14ac:dyDescent="0.25">
      <c r="A127" s="4"/>
      <c r="B127" s="4"/>
      <c r="C127" s="4"/>
      <c r="D127" s="4"/>
      <c r="E127" s="4"/>
      <c r="F127" s="4"/>
      <c r="H127">
        <f t="shared" si="9"/>
        <v>0</v>
      </c>
      <c r="I127">
        <f t="shared" si="6"/>
        <v>0</v>
      </c>
      <c r="J127">
        <f t="shared" si="7"/>
        <v>0</v>
      </c>
      <c r="K127">
        <f t="shared" si="8"/>
        <v>0</v>
      </c>
      <c r="L127">
        <f t="shared" si="10"/>
        <v>0</v>
      </c>
      <c r="M127">
        <f t="shared" si="11"/>
        <v>0</v>
      </c>
    </row>
    <row r="128" spans="1:13" x14ac:dyDescent="0.25">
      <c r="A128" s="4"/>
      <c r="B128" s="4"/>
      <c r="C128" s="4"/>
      <c r="D128" s="4"/>
      <c r="E128" s="4"/>
      <c r="F128" s="4"/>
      <c r="H128">
        <f t="shared" si="9"/>
        <v>0</v>
      </c>
      <c r="I128">
        <f t="shared" si="6"/>
        <v>0</v>
      </c>
      <c r="J128">
        <f t="shared" si="7"/>
        <v>0</v>
      </c>
      <c r="K128">
        <f t="shared" si="8"/>
        <v>0</v>
      </c>
      <c r="L128">
        <f t="shared" si="10"/>
        <v>0</v>
      </c>
      <c r="M128">
        <f t="shared" si="11"/>
        <v>0</v>
      </c>
    </row>
    <row r="129" spans="1:13" x14ac:dyDescent="0.25">
      <c r="A129" s="4"/>
      <c r="B129" s="4"/>
      <c r="C129" s="4"/>
      <c r="D129" s="4"/>
      <c r="E129" s="4"/>
      <c r="F129" s="4"/>
      <c r="H129">
        <f t="shared" si="9"/>
        <v>0</v>
      </c>
      <c r="I129">
        <f t="shared" si="6"/>
        <v>0</v>
      </c>
      <c r="J129">
        <f t="shared" si="7"/>
        <v>0</v>
      </c>
      <c r="K129">
        <f t="shared" si="8"/>
        <v>0</v>
      </c>
      <c r="L129">
        <f t="shared" si="10"/>
        <v>0</v>
      </c>
      <c r="M129">
        <f t="shared" si="11"/>
        <v>0</v>
      </c>
    </row>
    <row r="130" spans="1:13" x14ac:dyDescent="0.25">
      <c r="A130" s="4"/>
      <c r="B130" s="4"/>
      <c r="C130" s="4"/>
      <c r="D130" s="4"/>
      <c r="E130" s="4"/>
      <c r="F130" s="4"/>
      <c r="H130">
        <f t="shared" si="9"/>
        <v>0</v>
      </c>
      <c r="I130">
        <f t="shared" ref="I130:I193" si="12">C130*$I$1</f>
        <v>0</v>
      </c>
      <c r="J130">
        <f t="shared" ref="J130:J193" si="13">D130*$J$1</f>
        <v>0</v>
      </c>
      <c r="K130">
        <f t="shared" ref="K130:K193" si="14">E130*$K$1</f>
        <v>0</v>
      </c>
      <c r="L130">
        <f t="shared" si="10"/>
        <v>0</v>
      </c>
      <c r="M130">
        <f t="shared" si="11"/>
        <v>0</v>
      </c>
    </row>
    <row r="131" spans="1:13" x14ac:dyDescent="0.25">
      <c r="A131" s="4"/>
      <c r="B131" s="4"/>
      <c r="C131" s="4"/>
      <c r="D131" s="4"/>
      <c r="E131" s="4"/>
      <c r="F131" s="4"/>
      <c r="H131">
        <f t="shared" ref="H131:H194" si="15">B131*$H$1</f>
        <v>0</v>
      </c>
      <c r="I131">
        <f t="shared" si="12"/>
        <v>0</v>
      </c>
      <c r="J131">
        <f t="shared" si="13"/>
        <v>0</v>
      </c>
      <c r="K131">
        <f t="shared" si="14"/>
        <v>0</v>
      </c>
      <c r="L131">
        <f t="shared" ref="L131:L194" si="16">F131*$L$1</f>
        <v>0</v>
      </c>
      <c r="M131">
        <f t="shared" ref="M131:M194" si="17">SUM(H131:L131)</f>
        <v>0</v>
      </c>
    </row>
    <row r="132" spans="1:13" x14ac:dyDescent="0.25">
      <c r="A132" s="4"/>
      <c r="B132" s="4"/>
      <c r="C132" s="4"/>
      <c r="D132" s="4"/>
      <c r="E132" s="4"/>
      <c r="F132" s="4"/>
      <c r="H132">
        <f t="shared" si="15"/>
        <v>0</v>
      </c>
      <c r="I132">
        <f t="shared" si="12"/>
        <v>0</v>
      </c>
      <c r="J132">
        <f t="shared" si="13"/>
        <v>0</v>
      </c>
      <c r="K132">
        <f t="shared" si="14"/>
        <v>0</v>
      </c>
      <c r="L132">
        <f t="shared" si="16"/>
        <v>0</v>
      </c>
      <c r="M132">
        <f t="shared" si="17"/>
        <v>0</v>
      </c>
    </row>
    <row r="133" spans="1:13" x14ac:dyDescent="0.25">
      <c r="A133" s="4"/>
      <c r="B133" s="4"/>
      <c r="C133" s="4"/>
      <c r="D133" s="4"/>
      <c r="E133" s="4"/>
      <c r="F133" s="4"/>
      <c r="H133">
        <f t="shared" si="15"/>
        <v>0</v>
      </c>
      <c r="I133">
        <f t="shared" si="12"/>
        <v>0</v>
      </c>
      <c r="J133">
        <f t="shared" si="13"/>
        <v>0</v>
      </c>
      <c r="K133">
        <f t="shared" si="14"/>
        <v>0</v>
      </c>
      <c r="L133">
        <f t="shared" si="16"/>
        <v>0</v>
      </c>
      <c r="M133">
        <f t="shared" si="17"/>
        <v>0</v>
      </c>
    </row>
    <row r="134" spans="1:13" x14ac:dyDescent="0.25">
      <c r="A134" s="4"/>
      <c r="B134" s="4"/>
      <c r="C134" s="4"/>
      <c r="D134" s="4"/>
      <c r="E134" s="4"/>
      <c r="F134" s="4"/>
      <c r="H134">
        <f t="shared" si="15"/>
        <v>0</v>
      </c>
      <c r="I134">
        <f t="shared" si="12"/>
        <v>0</v>
      </c>
      <c r="J134">
        <f t="shared" si="13"/>
        <v>0</v>
      </c>
      <c r="K134">
        <f t="shared" si="14"/>
        <v>0</v>
      </c>
      <c r="L134">
        <f t="shared" si="16"/>
        <v>0</v>
      </c>
      <c r="M134">
        <f t="shared" si="17"/>
        <v>0</v>
      </c>
    </row>
    <row r="135" spans="1:13" x14ac:dyDescent="0.25">
      <c r="A135" s="4"/>
      <c r="B135" s="4"/>
      <c r="C135" s="4"/>
      <c r="D135" s="4"/>
      <c r="E135" s="4"/>
      <c r="F135" s="4"/>
      <c r="H135">
        <f t="shared" si="15"/>
        <v>0</v>
      </c>
      <c r="I135">
        <f t="shared" si="12"/>
        <v>0</v>
      </c>
      <c r="J135">
        <f t="shared" si="13"/>
        <v>0</v>
      </c>
      <c r="K135">
        <f t="shared" si="14"/>
        <v>0</v>
      </c>
      <c r="L135">
        <f t="shared" si="16"/>
        <v>0</v>
      </c>
      <c r="M135">
        <f t="shared" si="17"/>
        <v>0</v>
      </c>
    </row>
    <row r="136" spans="1:13" x14ac:dyDescent="0.25">
      <c r="A136" s="4"/>
      <c r="B136" s="4"/>
      <c r="C136" s="4"/>
      <c r="D136" s="4"/>
      <c r="E136" s="4"/>
      <c r="F136" s="4"/>
      <c r="H136">
        <f t="shared" si="15"/>
        <v>0</v>
      </c>
      <c r="I136">
        <f t="shared" si="12"/>
        <v>0</v>
      </c>
      <c r="J136">
        <f t="shared" si="13"/>
        <v>0</v>
      </c>
      <c r="K136">
        <f t="shared" si="14"/>
        <v>0</v>
      </c>
      <c r="L136">
        <f t="shared" si="16"/>
        <v>0</v>
      </c>
      <c r="M136">
        <f t="shared" si="17"/>
        <v>0</v>
      </c>
    </row>
    <row r="137" spans="1:13" x14ac:dyDescent="0.25">
      <c r="A137" s="4"/>
      <c r="B137" s="4"/>
      <c r="C137" s="4"/>
      <c r="D137" s="4"/>
      <c r="E137" s="4"/>
      <c r="F137" s="4"/>
      <c r="H137">
        <f t="shared" si="15"/>
        <v>0</v>
      </c>
      <c r="I137">
        <f t="shared" si="12"/>
        <v>0</v>
      </c>
      <c r="J137">
        <f t="shared" si="13"/>
        <v>0</v>
      </c>
      <c r="K137">
        <f t="shared" si="14"/>
        <v>0</v>
      </c>
      <c r="L137">
        <f t="shared" si="16"/>
        <v>0</v>
      </c>
      <c r="M137">
        <f t="shared" si="17"/>
        <v>0</v>
      </c>
    </row>
    <row r="138" spans="1:13" x14ac:dyDescent="0.25">
      <c r="A138" s="4"/>
      <c r="B138" s="4"/>
      <c r="C138" s="4"/>
      <c r="D138" s="4"/>
      <c r="E138" s="4"/>
      <c r="F138" s="4"/>
      <c r="H138">
        <f t="shared" si="15"/>
        <v>0</v>
      </c>
      <c r="I138">
        <f t="shared" si="12"/>
        <v>0</v>
      </c>
      <c r="J138">
        <f t="shared" si="13"/>
        <v>0</v>
      </c>
      <c r="K138">
        <f t="shared" si="14"/>
        <v>0</v>
      </c>
      <c r="L138">
        <f t="shared" si="16"/>
        <v>0</v>
      </c>
      <c r="M138">
        <f t="shared" si="17"/>
        <v>0</v>
      </c>
    </row>
    <row r="139" spans="1:13" x14ac:dyDescent="0.25">
      <c r="A139" s="4"/>
      <c r="B139" s="4"/>
      <c r="C139" s="4"/>
      <c r="D139" s="4"/>
      <c r="E139" s="4"/>
      <c r="F139" s="4"/>
      <c r="H139">
        <f t="shared" si="15"/>
        <v>0</v>
      </c>
      <c r="I139">
        <f t="shared" si="12"/>
        <v>0</v>
      </c>
      <c r="J139">
        <f t="shared" si="13"/>
        <v>0</v>
      </c>
      <c r="K139">
        <f t="shared" si="14"/>
        <v>0</v>
      </c>
      <c r="L139">
        <f t="shared" si="16"/>
        <v>0</v>
      </c>
      <c r="M139">
        <f t="shared" si="17"/>
        <v>0</v>
      </c>
    </row>
    <row r="140" spans="1:13" x14ac:dyDescent="0.25">
      <c r="A140" s="4"/>
      <c r="B140" s="4"/>
      <c r="C140" s="4"/>
      <c r="D140" s="4"/>
      <c r="E140" s="4"/>
      <c r="F140" s="4"/>
      <c r="H140">
        <f t="shared" si="15"/>
        <v>0</v>
      </c>
      <c r="I140">
        <f t="shared" si="12"/>
        <v>0</v>
      </c>
      <c r="J140">
        <f t="shared" si="13"/>
        <v>0</v>
      </c>
      <c r="K140">
        <f t="shared" si="14"/>
        <v>0</v>
      </c>
      <c r="L140">
        <f t="shared" si="16"/>
        <v>0</v>
      </c>
      <c r="M140">
        <f t="shared" si="17"/>
        <v>0</v>
      </c>
    </row>
    <row r="141" spans="1:13" x14ac:dyDescent="0.25">
      <c r="A141" s="4"/>
      <c r="B141" s="4"/>
      <c r="C141" s="4"/>
      <c r="D141" s="4"/>
      <c r="E141" s="4"/>
      <c r="F141" s="4"/>
      <c r="H141">
        <f t="shared" si="15"/>
        <v>0</v>
      </c>
      <c r="I141">
        <f t="shared" si="12"/>
        <v>0</v>
      </c>
      <c r="J141">
        <f t="shared" si="13"/>
        <v>0</v>
      </c>
      <c r="K141">
        <f t="shared" si="14"/>
        <v>0</v>
      </c>
      <c r="L141">
        <f t="shared" si="16"/>
        <v>0</v>
      </c>
      <c r="M141">
        <f t="shared" si="17"/>
        <v>0</v>
      </c>
    </row>
    <row r="142" spans="1:13" x14ac:dyDescent="0.25">
      <c r="A142" s="4"/>
      <c r="B142" s="4"/>
      <c r="C142" s="4"/>
      <c r="D142" s="4"/>
      <c r="E142" s="4"/>
      <c r="F142" s="4"/>
      <c r="H142">
        <f t="shared" si="15"/>
        <v>0</v>
      </c>
      <c r="I142">
        <f t="shared" si="12"/>
        <v>0</v>
      </c>
      <c r="J142">
        <f t="shared" si="13"/>
        <v>0</v>
      </c>
      <c r="K142">
        <f t="shared" si="14"/>
        <v>0</v>
      </c>
      <c r="L142">
        <f t="shared" si="16"/>
        <v>0</v>
      </c>
      <c r="M142">
        <f t="shared" si="17"/>
        <v>0</v>
      </c>
    </row>
    <row r="143" spans="1:13" x14ac:dyDescent="0.25">
      <c r="A143" s="4"/>
      <c r="B143" s="4"/>
      <c r="C143" s="4"/>
      <c r="D143" s="4"/>
      <c r="E143" s="4"/>
      <c r="F143" s="4"/>
      <c r="H143">
        <f t="shared" si="15"/>
        <v>0</v>
      </c>
      <c r="I143">
        <f t="shared" si="12"/>
        <v>0</v>
      </c>
      <c r="J143">
        <f t="shared" si="13"/>
        <v>0</v>
      </c>
      <c r="K143">
        <f t="shared" si="14"/>
        <v>0</v>
      </c>
      <c r="L143">
        <f t="shared" si="16"/>
        <v>0</v>
      </c>
      <c r="M143">
        <f t="shared" si="17"/>
        <v>0</v>
      </c>
    </row>
    <row r="144" spans="1:13" x14ac:dyDescent="0.25">
      <c r="A144" s="4"/>
      <c r="B144" s="4"/>
      <c r="C144" s="4"/>
      <c r="D144" s="4"/>
      <c r="E144" s="4"/>
      <c r="F144" s="4"/>
      <c r="H144">
        <f t="shared" si="15"/>
        <v>0</v>
      </c>
      <c r="I144">
        <f t="shared" si="12"/>
        <v>0</v>
      </c>
      <c r="J144">
        <f t="shared" si="13"/>
        <v>0</v>
      </c>
      <c r="K144">
        <f t="shared" si="14"/>
        <v>0</v>
      </c>
      <c r="L144">
        <f t="shared" si="16"/>
        <v>0</v>
      </c>
      <c r="M144">
        <f t="shared" si="17"/>
        <v>0</v>
      </c>
    </row>
    <row r="145" spans="1:13" x14ac:dyDescent="0.25">
      <c r="A145" s="4"/>
      <c r="B145" s="4"/>
      <c r="C145" s="4"/>
      <c r="D145" s="4"/>
      <c r="E145" s="4"/>
      <c r="F145" s="4"/>
      <c r="H145">
        <f t="shared" si="15"/>
        <v>0</v>
      </c>
      <c r="I145">
        <f t="shared" si="12"/>
        <v>0</v>
      </c>
      <c r="J145">
        <f t="shared" si="13"/>
        <v>0</v>
      </c>
      <c r="K145">
        <f t="shared" si="14"/>
        <v>0</v>
      </c>
      <c r="L145">
        <f t="shared" si="16"/>
        <v>0</v>
      </c>
      <c r="M145">
        <f t="shared" si="17"/>
        <v>0</v>
      </c>
    </row>
    <row r="146" spans="1:13" x14ac:dyDescent="0.25">
      <c r="A146" s="4"/>
      <c r="B146" s="4"/>
      <c r="C146" s="4"/>
      <c r="D146" s="4"/>
      <c r="E146" s="4"/>
      <c r="F146" s="4"/>
      <c r="H146">
        <f t="shared" si="15"/>
        <v>0</v>
      </c>
      <c r="I146">
        <f t="shared" si="12"/>
        <v>0</v>
      </c>
      <c r="J146">
        <f t="shared" si="13"/>
        <v>0</v>
      </c>
      <c r="K146">
        <f t="shared" si="14"/>
        <v>0</v>
      </c>
      <c r="L146">
        <f t="shared" si="16"/>
        <v>0</v>
      </c>
      <c r="M146">
        <f t="shared" si="17"/>
        <v>0</v>
      </c>
    </row>
    <row r="147" spans="1:13" x14ac:dyDescent="0.25">
      <c r="A147" s="4"/>
      <c r="B147" s="4"/>
      <c r="C147" s="4"/>
      <c r="D147" s="4"/>
      <c r="E147" s="4"/>
      <c r="F147" s="4"/>
      <c r="H147">
        <f t="shared" si="15"/>
        <v>0</v>
      </c>
      <c r="I147">
        <f t="shared" si="12"/>
        <v>0</v>
      </c>
      <c r="J147">
        <f t="shared" si="13"/>
        <v>0</v>
      </c>
      <c r="K147">
        <f t="shared" si="14"/>
        <v>0</v>
      </c>
      <c r="L147">
        <f t="shared" si="16"/>
        <v>0</v>
      </c>
      <c r="M147">
        <f t="shared" si="17"/>
        <v>0</v>
      </c>
    </row>
    <row r="148" spans="1:13" x14ac:dyDescent="0.25">
      <c r="A148" s="4"/>
      <c r="B148" s="4"/>
      <c r="C148" s="4"/>
      <c r="D148" s="4"/>
      <c r="E148" s="4"/>
      <c r="F148" s="4"/>
      <c r="H148">
        <f t="shared" si="15"/>
        <v>0</v>
      </c>
      <c r="I148">
        <f t="shared" si="12"/>
        <v>0</v>
      </c>
      <c r="J148">
        <f t="shared" si="13"/>
        <v>0</v>
      </c>
      <c r="K148">
        <f t="shared" si="14"/>
        <v>0</v>
      </c>
      <c r="L148">
        <f t="shared" si="16"/>
        <v>0</v>
      </c>
      <c r="M148">
        <f t="shared" si="17"/>
        <v>0</v>
      </c>
    </row>
    <row r="149" spans="1:13" x14ac:dyDescent="0.25">
      <c r="A149" s="4"/>
      <c r="B149" s="4"/>
      <c r="C149" s="4"/>
      <c r="D149" s="4"/>
      <c r="E149" s="4"/>
      <c r="F149" s="4"/>
      <c r="H149">
        <f t="shared" si="15"/>
        <v>0</v>
      </c>
      <c r="I149">
        <f t="shared" si="12"/>
        <v>0</v>
      </c>
      <c r="J149">
        <f t="shared" si="13"/>
        <v>0</v>
      </c>
      <c r="K149">
        <f t="shared" si="14"/>
        <v>0</v>
      </c>
      <c r="L149">
        <f t="shared" si="16"/>
        <v>0</v>
      </c>
      <c r="M149">
        <f t="shared" si="17"/>
        <v>0</v>
      </c>
    </row>
    <row r="150" spans="1:13" x14ac:dyDescent="0.25">
      <c r="A150" s="4"/>
      <c r="B150" s="4"/>
      <c r="C150" s="4"/>
      <c r="D150" s="4"/>
      <c r="E150" s="4"/>
      <c r="F150" s="4"/>
      <c r="H150">
        <f t="shared" si="15"/>
        <v>0</v>
      </c>
      <c r="I150">
        <f t="shared" si="12"/>
        <v>0</v>
      </c>
      <c r="J150">
        <f t="shared" si="13"/>
        <v>0</v>
      </c>
      <c r="K150">
        <f t="shared" si="14"/>
        <v>0</v>
      </c>
      <c r="L150">
        <f t="shared" si="16"/>
        <v>0</v>
      </c>
      <c r="M150">
        <f t="shared" si="17"/>
        <v>0</v>
      </c>
    </row>
    <row r="151" spans="1:13" x14ac:dyDescent="0.25">
      <c r="A151" s="4"/>
      <c r="B151" s="4"/>
      <c r="C151" s="4"/>
      <c r="D151" s="4"/>
      <c r="E151" s="4"/>
      <c r="F151" s="4"/>
      <c r="H151">
        <f t="shared" si="15"/>
        <v>0</v>
      </c>
      <c r="I151">
        <f t="shared" si="12"/>
        <v>0</v>
      </c>
      <c r="J151">
        <f t="shared" si="13"/>
        <v>0</v>
      </c>
      <c r="K151">
        <f t="shared" si="14"/>
        <v>0</v>
      </c>
      <c r="L151">
        <f t="shared" si="16"/>
        <v>0</v>
      </c>
      <c r="M151">
        <f t="shared" si="17"/>
        <v>0</v>
      </c>
    </row>
    <row r="152" spans="1:13" x14ac:dyDescent="0.25">
      <c r="A152" s="4"/>
      <c r="B152" s="4"/>
      <c r="C152" s="4"/>
      <c r="D152" s="4"/>
      <c r="E152" s="4"/>
      <c r="F152" s="4"/>
      <c r="H152">
        <f t="shared" si="15"/>
        <v>0</v>
      </c>
      <c r="I152">
        <f t="shared" si="12"/>
        <v>0</v>
      </c>
      <c r="J152">
        <f t="shared" si="13"/>
        <v>0</v>
      </c>
      <c r="K152">
        <f t="shared" si="14"/>
        <v>0</v>
      </c>
      <c r="L152">
        <f t="shared" si="16"/>
        <v>0</v>
      </c>
      <c r="M152">
        <f t="shared" si="17"/>
        <v>0</v>
      </c>
    </row>
    <row r="153" spans="1:13" x14ac:dyDescent="0.25">
      <c r="A153" s="4"/>
      <c r="B153" s="4"/>
      <c r="C153" s="4"/>
      <c r="D153" s="4"/>
      <c r="E153" s="4"/>
      <c r="F153" s="4"/>
      <c r="H153">
        <f t="shared" si="15"/>
        <v>0</v>
      </c>
      <c r="I153">
        <f t="shared" si="12"/>
        <v>0</v>
      </c>
      <c r="J153">
        <f t="shared" si="13"/>
        <v>0</v>
      </c>
      <c r="K153">
        <f t="shared" si="14"/>
        <v>0</v>
      </c>
      <c r="L153">
        <f t="shared" si="16"/>
        <v>0</v>
      </c>
      <c r="M153">
        <f t="shared" si="17"/>
        <v>0</v>
      </c>
    </row>
    <row r="154" spans="1:13" x14ac:dyDescent="0.25">
      <c r="A154" s="4"/>
      <c r="B154" s="4"/>
      <c r="C154" s="4"/>
      <c r="D154" s="4"/>
      <c r="E154" s="4"/>
      <c r="F154" s="4"/>
      <c r="H154">
        <f t="shared" si="15"/>
        <v>0</v>
      </c>
      <c r="I154">
        <f t="shared" si="12"/>
        <v>0</v>
      </c>
      <c r="J154">
        <f t="shared" si="13"/>
        <v>0</v>
      </c>
      <c r="K154">
        <f t="shared" si="14"/>
        <v>0</v>
      </c>
      <c r="L154">
        <f t="shared" si="16"/>
        <v>0</v>
      </c>
      <c r="M154">
        <f t="shared" si="17"/>
        <v>0</v>
      </c>
    </row>
    <row r="155" spans="1:13" x14ac:dyDescent="0.25">
      <c r="A155" s="4"/>
      <c r="B155" s="4"/>
      <c r="C155" s="4"/>
      <c r="D155" s="4"/>
      <c r="E155" s="4"/>
      <c r="F155" s="4"/>
      <c r="H155">
        <f t="shared" si="15"/>
        <v>0</v>
      </c>
      <c r="I155">
        <f t="shared" si="12"/>
        <v>0</v>
      </c>
      <c r="J155">
        <f t="shared" si="13"/>
        <v>0</v>
      </c>
      <c r="K155">
        <f t="shared" si="14"/>
        <v>0</v>
      </c>
      <c r="L155">
        <f t="shared" si="16"/>
        <v>0</v>
      </c>
      <c r="M155">
        <f t="shared" si="17"/>
        <v>0</v>
      </c>
    </row>
    <row r="156" spans="1:13" x14ac:dyDescent="0.25">
      <c r="A156" s="4"/>
      <c r="B156" s="4"/>
      <c r="C156" s="4"/>
      <c r="D156" s="4"/>
      <c r="E156" s="4"/>
      <c r="F156" s="4"/>
      <c r="H156">
        <f t="shared" si="15"/>
        <v>0</v>
      </c>
      <c r="I156">
        <f t="shared" si="12"/>
        <v>0</v>
      </c>
      <c r="J156">
        <f t="shared" si="13"/>
        <v>0</v>
      </c>
      <c r="K156">
        <f t="shared" si="14"/>
        <v>0</v>
      </c>
      <c r="L156">
        <f t="shared" si="16"/>
        <v>0</v>
      </c>
      <c r="M156">
        <f t="shared" si="17"/>
        <v>0</v>
      </c>
    </row>
    <row r="157" spans="1:13" x14ac:dyDescent="0.25">
      <c r="A157" s="4"/>
      <c r="B157" s="4"/>
      <c r="C157" s="4"/>
      <c r="D157" s="4"/>
      <c r="E157" s="4"/>
      <c r="F157" s="4"/>
      <c r="H157">
        <f t="shared" si="15"/>
        <v>0</v>
      </c>
      <c r="I157">
        <f t="shared" si="12"/>
        <v>0</v>
      </c>
      <c r="J157">
        <f t="shared" si="13"/>
        <v>0</v>
      </c>
      <c r="K157">
        <f t="shared" si="14"/>
        <v>0</v>
      </c>
      <c r="L157">
        <f t="shared" si="16"/>
        <v>0</v>
      </c>
      <c r="M157">
        <f t="shared" si="17"/>
        <v>0</v>
      </c>
    </row>
    <row r="158" spans="1:13" x14ac:dyDescent="0.25">
      <c r="A158" s="4"/>
      <c r="B158" s="4"/>
      <c r="C158" s="4"/>
      <c r="D158" s="4"/>
      <c r="E158" s="4"/>
      <c r="F158" s="4"/>
      <c r="H158">
        <f t="shared" si="15"/>
        <v>0</v>
      </c>
      <c r="I158">
        <f t="shared" si="12"/>
        <v>0</v>
      </c>
      <c r="J158">
        <f t="shared" si="13"/>
        <v>0</v>
      </c>
      <c r="K158">
        <f t="shared" si="14"/>
        <v>0</v>
      </c>
      <c r="L158">
        <f t="shared" si="16"/>
        <v>0</v>
      </c>
      <c r="M158">
        <f t="shared" si="17"/>
        <v>0</v>
      </c>
    </row>
    <row r="159" spans="1:13" x14ac:dyDescent="0.25">
      <c r="A159" s="4"/>
      <c r="B159" s="4"/>
      <c r="C159" s="4"/>
      <c r="D159" s="4"/>
      <c r="E159" s="4"/>
      <c r="F159" s="4"/>
      <c r="H159">
        <f t="shared" si="15"/>
        <v>0</v>
      </c>
      <c r="I159">
        <f t="shared" si="12"/>
        <v>0</v>
      </c>
      <c r="J159">
        <f t="shared" si="13"/>
        <v>0</v>
      </c>
      <c r="K159">
        <f t="shared" si="14"/>
        <v>0</v>
      </c>
      <c r="L159">
        <f t="shared" si="16"/>
        <v>0</v>
      </c>
      <c r="M159">
        <f t="shared" si="17"/>
        <v>0</v>
      </c>
    </row>
    <row r="160" spans="1:13" x14ac:dyDescent="0.25">
      <c r="A160" s="4"/>
      <c r="B160" s="4"/>
      <c r="C160" s="4"/>
      <c r="D160" s="4"/>
      <c r="E160" s="4"/>
      <c r="F160" s="4"/>
      <c r="H160">
        <f t="shared" si="15"/>
        <v>0</v>
      </c>
      <c r="I160">
        <f t="shared" si="12"/>
        <v>0</v>
      </c>
      <c r="J160">
        <f t="shared" si="13"/>
        <v>0</v>
      </c>
      <c r="K160">
        <f t="shared" si="14"/>
        <v>0</v>
      </c>
      <c r="L160">
        <f t="shared" si="16"/>
        <v>0</v>
      </c>
      <c r="M160">
        <f t="shared" si="17"/>
        <v>0</v>
      </c>
    </row>
    <row r="161" spans="1:13" x14ac:dyDescent="0.25">
      <c r="A161" s="4"/>
      <c r="B161" s="4"/>
      <c r="C161" s="4"/>
      <c r="D161" s="4"/>
      <c r="E161" s="4"/>
      <c r="F161" s="4"/>
      <c r="H161">
        <f t="shared" si="15"/>
        <v>0</v>
      </c>
      <c r="I161">
        <f t="shared" si="12"/>
        <v>0</v>
      </c>
      <c r="J161">
        <f t="shared" si="13"/>
        <v>0</v>
      </c>
      <c r="K161">
        <f t="shared" si="14"/>
        <v>0</v>
      </c>
      <c r="L161">
        <f t="shared" si="16"/>
        <v>0</v>
      </c>
      <c r="M161">
        <f t="shared" si="17"/>
        <v>0</v>
      </c>
    </row>
    <row r="162" spans="1:13" x14ac:dyDescent="0.25">
      <c r="A162" s="4"/>
      <c r="B162" s="4"/>
      <c r="C162" s="4"/>
      <c r="D162" s="4"/>
      <c r="E162" s="4"/>
      <c r="F162" s="4"/>
      <c r="H162">
        <f t="shared" si="15"/>
        <v>0</v>
      </c>
      <c r="I162">
        <f t="shared" si="12"/>
        <v>0</v>
      </c>
      <c r="J162">
        <f t="shared" si="13"/>
        <v>0</v>
      </c>
      <c r="K162">
        <f t="shared" si="14"/>
        <v>0</v>
      </c>
      <c r="L162">
        <f t="shared" si="16"/>
        <v>0</v>
      </c>
      <c r="M162">
        <f t="shared" si="17"/>
        <v>0</v>
      </c>
    </row>
    <row r="163" spans="1:13" x14ac:dyDescent="0.25">
      <c r="A163" s="4"/>
      <c r="B163" s="4"/>
      <c r="C163" s="4"/>
      <c r="D163" s="4"/>
      <c r="E163" s="4"/>
      <c r="F163" s="4"/>
      <c r="H163">
        <f t="shared" si="15"/>
        <v>0</v>
      </c>
      <c r="I163">
        <f t="shared" si="12"/>
        <v>0</v>
      </c>
      <c r="J163">
        <f t="shared" si="13"/>
        <v>0</v>
      </c>
      <c r="K163">
        <f t="shared" si="14"/>
        <v>0</v>
      </c>
      <c r="L163">
        <f t="shared" si="16"/>
        <v>0</v>
      </c>
      <c r="M163">
        <f t="shared" si="17"/>
        <v>0</v>
      </c>
    </row>
    <row r="164" spans="1:13" x14ac:dyDescent="0.25">
      <c r="A164" s="4"/>
      <c r="B164" s="4"/>
      <c r="C164" s="4"/>
      <c r="D164" s="4"/>
      <c r="E164" s="4"/>
      <c r="F164" s="4"/>
      <c r="H164">
        <f t="shared" si="15"/>
        <v>0</v>
      </c>
      <c r="I164">
        <f t="shared" si="12"/>
        <v>0</v>
      </c>
      <c r="J164">
        <f t="shared" si="13"/>
        <v>0</v>
      </c>
      <c r="K164">
        <f t="shared" si="14"/>
        <v>0</v>
      </c>
      <c r="L164">
        <f t="shared" si="16"/>
        <v>0</v>
      </c>
      <c r="M164">
        <f t="shared" si="17"/>
        <v>0</v>
      </c>
    </row>
    <row r="165" spans="1:13" x14ac:dyDescent="0.25">
      <c r="A165" s="4"/>
      <c r="B165" s="4"/>
      <c r="C165" s="4"/>
      <c r="D165" s="4"/>
      <c r="E165" s="4"/>
      <c r="F165" s="4"/>
      <c r="H165">
        <f t="shared" si="15"/>
        <v>0</v>
      </c>
      <c r="I165">
        <f t="shared" si="12"/>
        <v>0</v>
      </c>
      <c r="J165">
        <f t="shared" si="13"/>
        <v>0</v>
      </c>
      <c r="K165">
        <f t="shared" si="14"/>
        <v>0</v>
      </c>
      <c r="L165">
        <f t="shared" si="16"/>
        <v>0</v>
      </c>
      <c r="M165">
        <f t="shared" si="17"/>
        <v>0</v>
      </c>
    </row>
    <row r="166" spans="1:13" x14ac:dyDescent="0.25">
      <c r="A166" s="4"/>
      <c r="B166" s="4"/>
      <c r="C166" s="4"/>
      <c r="D166" s="4"/>
      <c r="E166" s="4"/>
      <c r="F166" s="4"/>
      <c r="H166">
        <f t="shared" si="15"/>
        <v>0</v>
      </c>
      <c r="I166">
        <f t="shared" si="12"/>
        <v>0</v>
      </c>
      <c r="J166">
        <f t="shared" si="13"/>
        <v>0</v>
      </c>
      <c r="K166">
        <f t="shared" si="14"/>
        <v>0</v>
      </c>
      <c r="L166">
        <f t="shared" si="16"/>
        <v>0</v>
      </c>
      <c r="M166">
        <f t="shared" si="17"/>
        <v>0</v>
      </c>
    </row>
    <row r="167" spans="1:13" x14ac:dyDescent="0.25">
      <c r="A167" s="4"/>
      <c r="B167" s="4"/>
      <c r="C167" s="4"/>
      <c r="D167" s="4"/>
      <c r="E167" s="4"/>
      <c r="F167" s="4"/>
      <c r="H167">
        <f t="shared" si="15"/>
        <v>0</v>
      </c>
      <c r="I167">
        <f t="shared" si="12"/>
        <v>0</v>
      </c>
      <c r="J167">
        <f t="shared" si="13"/>
        <v>0</v>
      </c>
      <c r="K167">
        <f t="shared" si="14"/>
        <v>0</v>
      </c>
      <c r="L167">
        <f t="shared" si="16"/>
        <v>0</v>
      </c>
      <c r="M167">
        <f t="shared" si="17"/>
        <v>0</v>
      </c>
    </row>
    <row r="168" spans="1:13" x14ac:dyDescent="0.25">
      <c r="A168" s="4"/>
      <c r="B168" s="4"/>
      <c r="C168" s="4"/>
      <c r="D168" s="4"/>
      <c r="E168" s="4"/>
      <c r="F168" s="4"/>
      <c r="H168">
        <f t="shared" si="15"/>
        <v>0</v>
      </c>
      <c r="I168">
        <f t="shared" si="12"/>
        <v>0</v>
      </c>
      <c r="J168">
        <f t="shared" si="13"/>
        <v>0</v>
      </c>
      <c r="K168">
        <f t="shared" si="14"/>
        <v>0</v>
      </c>
      <c r="L168">
        <f t="shared" si="16"/>
        <v>0</v>
      </c>
      <c r="M168">
        <f t="shared" si="17"/>
        <v>0</v>
      </c>
    </row>
    <row r="169" spans="1:13" x14ac:dyDescent="0.25">
      <c r="A169" s="4"/>
      <c r="B169" s="4"/>
      <c r="C169" s="4"/>
      <c r="D169" s="4"/>
      <c r="E169" s="4"/>
      <c r="F169" s="4"/>
      <c r="H169">
        <f t="shared" si="15"/>
        <v>0</v>
      </c>
      <c r="I169">
        <f t="shared" si="12"/>
        <v>0</v>
      </c>
      <c r="J169">
        <f t="shared" si="13"/>
        <v>0</v>
      </c>
      <c r="K169">
        <f t="shared" si="14"/>
        <v>0</v>
      </c>
      <c r="L169">
        <f t="shared" si="16"/>
        <v>0</v>
      </c>
      <c r="M169">
        <f t="shared" si="17"/>
        <v>0</v>
      </c>
    </row>
    <row r="170" spans="1:13" x14ac:dyDescent="0.25">
      <c r="A170" s="4"/>
      <c r="B170" s="4"/>
      <c r="C170" s="4"/>
      <c r="D170" s="4"/>
      <c r="E170" s="4"/>
      <c r="F170" s="4"/>
      <c r="H170">
        <f t="shared" si="15"/>
        <v>0</v>
      </c>
      <c r="I170">
        <f t="shared" si="12"/>
        <v>0</v>
      </c>
      <c r="J170">
        <f t="shared" si="13"/>
        <v>0</v>
      </c>
      <c r="K170">
        <f t="shared" si="14"/>
        <v>0</v>
      </c>
      <c r="L170">
        <f t="shared" si="16"/>
        <v>0</v>
      </c>
      <c r="M170">
        <f t="shared" si="17"/>
        <v>0</v>
      </c>
    </row>
    <row r="171" spans="1:13" x14ac:dyDescent="0.25">
      <c r="A171" s="4"/>
      <c r="B171" s="4"/>
      <c r="C171" s="4"/>
      <c r="D171" s="4"/>
      <c r="E171" s="4"/>
      <c r="F171" s="4"/>
      <c r="H171">
        <f t="shared" si="15"/>
        <v>0</v>
      </c>
      <c r="I171">
        <f t="shared" si="12"/>
        <v>0</v>
      </c>
      <c r="J171">
        <f t="shared" si="13"/>
        <v>0</v>
      </c>
      <c r="K171">
        <f t="shared" si="14"/>
        <v>0</v>
      </c>
      <c r="L171">
        <f t="shared" si="16"/>
        <v>0</v>
      </c>
      <c r="M171">
        <f t="shared" si="17"/>
        <v>0</v>
      </c>
    </row>
    <row r="172" spans="1:13" x14ac:dyDescent="0.25">
      <c r="A172" s="4"/>
      <c r="B172" s="4"/>
      <c r="C172" s="4"/>
      <c r="D172" s="4"/>
      <c r="E172" s="4"/>
      <c r="F172" s="4"/>
      <c r="H172">
        <f t="shared" si="15"/>
        <v>0</v>
      </c>
      <c r="I172">
        <f t="shared" si="12"/>
        <v>0</v>
      </c>
      <c r="J172">
        <f t="shared" si="13"/>
        <v>0</v>
      </c>
      <c r="K172">
        <f t="shared" si="14"/>
        <v>0</v>
      </c>
      <c r="L172">
        <f t="shared" si="16"/>
        <v>0</v>
      </c>
      <c r="M172">
        <f t="shared" si="17"/>
        <v>0</v>
      </c>
    </row>
    <row r="173" spans="1:13" x14ac:dyDescent="0.25">
      <c r="A173" s="4"/>
      <c r="B173" s="4"/>
      <c r="C173" s="4"/>
      <c r="D173" s="4"/>
      <c r="E173" s="4"/>
      <c r="F173" s="4"/>
      <c r="H173">
        <f t="shared" si="15"/>
        <v>0</v>
      </c>
      <c r="I173">
        <f t="shared" si="12"/>
        <v>0</v>
      </c>
      <c r="J173">
        <f t="shared" si="13"/>
        <v>0</v>
      </c>
      <c r="K173">
        <f t="shared" si="14"/>
        <v>0</v>
      </c>
      <c r="L173">
        <f t="shared" si="16"/>
        <v>0</v>
      </c>
      <c r="M173">
        <f t="shared" si="17"/>
        <v>0</v>
      </c>
    </row>
    <row r="174" spans="1:13" x14ac:dyDescent="0.25">
      <c r="A174" s="4"/>
      <c r="B174" s="4"/>
      <c r="C174" s="4"/>
      <c r="D174" s="4"/>
      <c r="E174" s="4"/>
      <c r="F174" s="4"/>
      <c r="H174">
        <f t="shared" si="15"/>
        <v>0</v>
      </c>
      <c r="I174">
        <f t="shared" si="12"/>
        <v>0</v>
      </c>
      <c r="J174">
        <f t="shared" si="13"/>
        <v>0</v>
      </c>
      <c r="K174">
        <f t="shared" si="14"/>
        <v>0</v>
      </c>
      <c r="L174">
        <f t="shared" si="16"/>
        <v>0</v>
      </c>
      <c r="M174">
        <f t="shared" si="17"/>
        <v>0</v>
      </c>
    </row>
    <row r="175" spans="1:13" x14ac:dyDescent="0.25">
      <c r="A175" s="4"/>
      <c r="B175" s="4"/>
      <c r="C175" s="4"/>
      <c r="D175" s="4"/>
      <c r="E175" s="4"/>
      <c r="F175" s="4"/>
      <c r="H175">
        <f t="shared" si="15"/>
        <v>0</v>
      </c>
      <c r="I175">
        <f t="shared" si="12"/>
        <v>0</v>
      </c>
      <c r="J175">
        <f t="shared" si="13"/>
        <v>0</v>
      </c>
      <c r="K175">
        <f t="shared" si="14"/>
        <v>0</v>
      </c>
      <c r="L175">
        <f t="shared" si="16"/>
        <v>0</v>
      </c>
      <c r="M175">
        <f t="shared" si="17"/>
        <v>0</v>
      </c>
    </row>
    <row r="176" spans="1:13" x14ac:dyDescent="0.25">
      <c r="A176" s="4"/>
      <c r="B176" s="4"/>
      <c r="C176" s="4"/>
      <c r="D176" s="4"/>
      <c r="E176" s="4"/>
      <c r="F176" s="4"/>
      <c r="H176">
        <f t="shared" si="15"/>
        <v>0</v>
      </c>
      <c r="I176">
        <f t="shared" si="12"/>
        <v>0</v>
      </c>
      <c r="J176">
        <f t="shared" si="13"/>
        <v>0</v>
      </c>
      <c r="K176">
        <f t="shared" si="14"/>
        <v>0</v>
      </c>
      <c r="L176">
        <f t="shared" si="16"/>
        <v>0</v>
      </c>
      <c r="M176">
        <f t="shared" si="17"/>
        <v>0</v>
      </c>
    </row>
    <row r="177" spans="1:13" x14ac:dyDescent="0.25">
      <c r="A177" s="4"/>
      <c r="B177" s="4"/>
      <c r="C177" s="4"/>
      <c r="D177" s="4"/>
      <c r="E177" s="4"/>
      <c r="F177" s="4"/>
      <c r="H177">
        <f t="shared" si="15"/>
        <v>0</v>
      </c>
      <c r="I177">
        <f t="shared" si="12"/>
        <v>0</v>
      </c>
      <c r="J177">
        <f t="shared" si="13"/>
        <v>0</v>
      </c>
      <c r="K177">
        <f t="shared" si="14"/>
        <v>0</v>
      </c>
      <c r="L177">
        <f t="shared" si="16"/>
        <v>0</v>
      </c>
      <c r="M177">
        <f t="shared" si="17"/>
        <v>0</v>
      </c>
    </row>
    <row r="178" spans="1:13" x14ac:dyDescent="0.25">
      <c r="A178" s="4"/>
      <c r="B178" s="4"/>
      <c r="C178" s="4"/>
      <c r="D178" s="4"/>
      <c r="E178" s="4"/>
      <c r="F178" s="4"/>
      <c r="H178">
        <f t="shared" si="15"/>
        <v>0</v>
      </c>
      <c r="I178">
        <f t="shared" si="12"/>
        <v>0</v>
      </c>
      <c r="J178">
        <f t="shared" si="13"/>
        <v>0</v>
      </c>
      <c r="K178">
        <f t="shared" si="14"/>
        <v>0</v>
      </c>
      <c r="L178">
        <f t="shared" si="16"/>
        <v>0</v>
      </c>
      <c r="M178">
        <f t="shared" si="17"/>
        <v>0</v>
      </c>
    </row>
    <row r="179" spans="1:13" x14ac:dyDescent="0.25">
      <c r="A179" s="4"/>
      <c r="B179" s="4"/>
      <c r="C179" s="4"/>
      <c r="D179" s="4"/>
      <c r="E179" s="4"/>
      <c r="F179" s="4"/>
      <c r="H179">
        <f t="shared" si="15"/>
        <v>0</v>
      </c>
      <c r="I179">
        <f t="shared" si="12"/>
        <v>0</v>
      </c>
      <c r="J179">
        <f t="shared" si="13"/>
        <v>0</v>
      </c>
      <c r="K179">
        <f t="shared" si="14"/>
        <v>0</v>
      </c>
      <c r="L179">
        <f t="shared" si="16"/>
        <v>0</v>
      </c>
      <c r="M179">
        <f t="shared" si="17"/>
        <v>0</v>
      </c>
    </row>
    <row r="180" spans="1:13" x14ac:dyDescent="0.25">
      <c r="A180" s="4"/>
      <c r="B180" s="4"/>
      <c r="C180" s="4"/>
      <c r="D180" s="4"/>
      <c r="E180" s="4"/>
      <c r="F180" s="4"/>
      <c r="H180">
        <f t="shared" si="15"/>
        <v>0</v>
      </c>
      <c r="I180">
        <f t="shared" si="12"/>
        <v>0</v>
      </c>
      <c r="J180">
        <f t="shared" si="13"/>
        <v>0</v>
      </c>
      <c r="K180">
        <f t="shared" si="14"/>
        <v>0</v>
      </c>
      <c r="L180">
        <f t="shared" si="16"/>
        <v>0</v>
      </c>
      <c r="M180">
        <f t="shared" si="17"/>
        <v>0</v>
      </c>
    </row>
    <row r="181" spans="1:13" x14ac:dyDescent="0.25">
      <c r="A181" s="4"/>
      <c r="B181" s="4"/>
      <c r="C181" s="4"/>
      <c r="D181" s="4"/>
      <c r="E181" s="4"/>
      <c r="F181" s="4"/>
      <c r="H181">
        <f t="shared" si="15"/>
        <v>0</v>
      </c>
      <c r="I181">
        <f t="shared" si="12"/>
        <v>0</v>
      </c>
      <c r="J181">
        <f t="shared" si="13"/>
        <v>0</v>
      </c>
      <c r="K181">
        <f t="shared" si="14"/>
        <v>0</v>
      </c>
      <c r="L181">
        <f t="shared" si="16"/>
        <v>0</v>
      </c>
      <c r="M181">
        <f t="shared" si="17"/>
        <v>0</v>
      </c>
    </row>
    <row r="182" spans="1:13" x14ac:dyDescent="0.25">
      <c r="A182" s="4"/>
      <c r="B182" s="4"/>
      <c r="C182" s="4"/>
      <c r="D182" s="4"/>
      <c r="E182" s="4"/>
      <c r="F182" s="4"/>
      <c r="H182">
        <f t="shared" si="15"/>
        <v>0</v>
      </c>
      <c r="I182">
        <f t="shared" si="12"/>
        <v>0</v>
      </c>
      <c r="J182">
        <f t="shared" si="13"/>
        <v>0</v>
      </c>
      <c r="K182">
        <f t="shared" si="14"/>
        <v>0</v>
      </c>
      <c r="L182">
        <f t="shared" si="16"/>
        <v>0</v>
      </c>
      <c r="M182">
        <f t="shared" si="17"/>
        <v>0</v>
      </c>
    </row>
    <row r="183" spans="1:13" x14ac:dyDescent="0.25">
      <c r="A183" s="4"/>
      <c r="B183" s="4"/>
      <c r="C183" s="4"/>
      <c r="D183" s="4"/>
      <c r="E183" s="4"/>
      <c r="F183" s="4"/>
      <c r="H183">
        <f t="shared" si="15"/>
        <v>0</v>
      </c>
      <c r="I183">
        <f t="shared" si="12"/>
        <v>0</v>
      </c>
      <c r="J183">
        <f t="shared" si="13"/>
        <v>0</v>
      </c>
      <c r="K183">
        <f t="shared" si="14"/>
        <v>0</v>
      </c>
      <c r="L183">
        <f t="shared" si="16"/>
        <v>0</v>
      </c>
      <c r="M183">
        <f t="shared" si="17"/>
        <v>0</v>
      </c>
    </row>
    <row r="184" spans="1:13" x14ac:dyDescent="0.25">
      <c r="A184" s="4"/>
      <c r="B184" s="4"/>
      <c r="C184" s="4"/>
      <c r="D184" s="4"/>
      <c r="E184" s="4"/>
      <c r="F184" s="4"/>
      <c r="H184">
        <f t="shared" si="15"/>
        <v>0</v>
      </c>
      <c r="I184">
        <f t="shared" si="12"/>
        <v>0</v>
      </c>
      <c r="J184">
        <f t="shared" si="13"/>
        <v>0</v>
      </c>
      <c r="K184">
        <f t="shared" si="14"/>
        <v>0</v>
      </c>
      <c r="L184">
        <f t="shared" si="16"/>
        <v>0</v>
      </c>
      <c r="M184">
        <f t="shared" si="17"/>
        <v>0</v>
      </c>
    </row>
    <row r="185" spans="1:13" x14ac:dyDescent="0.25">
      <c r="A185" s="4"/>
      <c r="B185" s="4"/>
      <c r="C185" s="4"/>
      <c r="D185" s="4"/>
      <c r="E185" s="4"/>
      <c r="F185" s="4"/>
      <c r="H185">
        <f t="shared" si="15"/>
        <v>0</v>
      </c>
      <c r="I185">
        <f t="shared" si="12"/>
        <v>0</v>
      </c>
      <c r="J185">
        <f t="shared" si="13"/>
        <v>0</v>
      </c>
      <c r="K185">
        <f t="shared" si="14"/>
        <v>0</v>
      </c>
      <c r="L185">
        <f t="shared" si="16"/>
        <v>0</v>
      </c>
      <c r="M185">
        <f t="shared" si="17"/>
        <v>0</v>
      </c>
    </row>
    <row r="186" spans="1:13" x14ac:dyDescent="0.25">
      <c r="A186" s="4"/>
      <c r="B186" s="4"/>
      <c r="C186" s="4"/>
      <c r="D186" s="4"/>
      <c r="E186" s="4"/>
      <c r="F186" s="4"/>
      <c r="H186">
        <f t="shared" si="15"/>
        <v>0</v>
      </c>
      <c r="I186">
        <f t="shared" si="12"/>
        <v>0</v>
      </c>
      <c r="J186">
        <f t="shared" si="13"/>
        <v>0</v>
      </c>
      <c r="K186">
        <f t="shared" si="14"/>
        <v>0</v>
      </c>
      <c r="L186">
        <f t="shared" si="16"/>
        <v>0</v>
      </c>
      <c r="M186">
        <f t="shared" si="17"/>
        <v>0</v>
      </c>
    </row>
    <row r="187" spans="1:13" x14ac:dyDescent="0.25">
      <c r="A187" s="4"/>
      <c r="B187" s="4"/>
      <c r="C187" s="4"/>
      <c r="D187" s="4"/>
      <c r="E187" s="4"/>
      <c r="F187" s="4"/>
      <c r="H187">
        <f t="shared" si="15"/>
        <v>0</v>
      </c>
      <c r="I187">
        <f t="shared" si="12"/>
        <v>0</v>
      </c>
      <c r="J187">
        <f t="shared" si="13"/>
        <v>0</v>
      </c>
      <c r="K187">
        <f t="shared" si="14"/>
        <v>0</v>
      </c>
      <c r="L187">
        <f t="shared" si="16"/>
        <v>0</v>
      </c>
      <c r="M187">
        <f t="shared" si="17"/>
        <v>0</v>
      </c>
    </row>
    <row r="188" spans="1:13" x14ac:dyDescent="0.25">
      <c r="A188" s="4"/>
      <c r="B188" s="4"/>
      <c r="C188" s="4"/>
      <c r="D188" s="4"/>
      <c r="E188" s="4"/>
      <c r="F188" s="4"/>
      <c r="H188">
        <f t="shared" si="15"/>
        <v>0</v>
      </c>
      <c r="I188">
        <f t="shared" si="12"/>
        <v>0</v>
      </c>
      <c r="J188">
        <f t="shared" si="13"/>
        <v>0</v>
      </c>
      <c r="K188">
        <f t="shared" si="14"/>
        <v>0</v>
      </c>
      <c r="L188">
        <f t="shared" si="16"/>
        <v>0</v>
      </c>
      <c r="M188">
        <f t="shared" si="17"/>
        <v>0</v>
      </c>
    </row>
    <row r="189" spans="1:13" x14ac:dyDescent="0.25">
      <c r="A189" s="4"/>
      <c r="B189" s="4"/>
      <c r="C189" s="4"/>
      <c r="D189" s="4"/>
      <c r="E189" s="4"/>
      <c r="F189" s="4"/>
      <c r="H189">
        <f t="shared" si="15"/>
        <v>0</v>
      </c>
      <c r="I189">
        <f t="shared" si="12"/>
        <v>0</v>
      </c>
      <c r="J189">
        <f t="shared" si="13"/>
        <v>0</v>
      </c>
      <c r="K189">
        <f t="shared" si="14"/>
        <v>0</v>
      </c>
      <c r="L189">
        <f t="shared" si="16"/>
        <v>0</v>
      </c>
      <c r="M189">
        <f t="shared" si="17"/>
        <v>0</v>
      </c>
    </row>
    <row r="190" spans="1:13" x14ac:dyDescent="0.25">
      <c r="A190" s="4"/>
      <c r="B190" s="4"/>
      <c r="C190" s="4"/>
      <c r="D190" s="4"/>
      <c r="E190" s="4"/>
      <c r="F190" s="4"/>
      <c r="H190">
        <f t="shared" si="15"/>
        <v>0</v>
      </c>
      <c r="I190">
        <f t="shared" si="12"/>
        <v>0</v>
      </c>
      <c r="J190">
        <f t="shared" si="13"/>
        <v>0</v>
      </c>
      <c r="K190">
        <f t="shared" si="14"/>
        <v>0</v>
      </c>
      <c r="L190">
        <f t="shared" si="16"/>
        <v>0</v>
      </c>
      <c r="M190">
        <f t="shared" si="17"/>
        <v>0</v>
      </c>
    </row>
    <row r="191" spans="1:13" x14ac:dyDescent="0.25">
      <c r="A191" s="4"/>
      <c r="B191" s="4"/>
      <c r="C191" s="4"/>
      <c r="D191" s="4"/>
      <c r="E191" s="4"/>
      <c r="F191" s="4"/>
      <c r="H191">
        <f t="shared" si="15"/>
        <v>0</v>
      </c>
      <c r="I191">
        <f t="shared" si="12"/>
        <v>0</v>
      </c>
      <c r="J191">
        <f t="shared" si="13"/>
        <v>0</v>
      </c>
      <c r="K191">
        <f t="shared" si="14"/>
        <v>0</v>
      </c>
      <c r="L191">
        <f t="shared" si="16"/>
        <v>0</v>
      </c>
      <c r="M191">
        <f t="shared" si="17"/>
        <v>0</v>
      </c>
    </row>
    <row r="192" spans="1:13" x14ac:dyDescent="0.25">
      <c r="A192" s="4"/>
      <c r="B192" s="4"/>
      <c r="C192" s="4"/>
      <c r="D192" s="4"/>
      <c r="E192" s="4"/>
      <c r="F192" s="4"/>
      <c r="H192">
        <f t="shared" si="15"/>
        <v>0</v>
      </c>
      <c r="I192">
        <f t="shared" si="12"/>
        <v>0</v>
      </c>
      <c r="J192">
        <f t="shared" si="13"/>
        <v>0</v>
      </c>
      <c r="K192">
        <f t="shared" si="14"/>
        <v>0</v>
      </c>
      <c r="L192">
        <f t="shared" si="16"/>
        <v>0</v>
      </c>
      <c r="M192">
        <f t="shared" si="17"/>
        <v>0</v>
      </c>
    </row>
    <row r="193" spans="1:13" x14ac:dyDescent="0.25">
      <c r="A193" s="4"/>
      <c r="B193" s="4"/>
      <c r="C193" s="4"/>
      <c r="D193" s="4"/>
      <c r="E193" s="4"/>
      <c r="F193" s="4"/>
      <c r="H193">
        <f t="shared" si="15"/>
        <v>0</v>
      </c>
      <c r="I193">
        <f t="shared" si="12"/>
        <v>0</v>
      </c>
      <c r="J193">
        <f t="shared" si="13"/>
        <v>0</v>
      </c>
      <c r="K193">
        <f t="shared" si="14"/>
        <v>0</v>
      </c>
      <c r="L193">
        <f t="shared" si="16"/>
        <v>0</v>
      </c>
      <c r="M193">
        <f t="shared" si="17"/>
        <v>0</v>
      </c>
    </row>
    <row r="194" spans="1:13" x14ac:dyDescent="0.25">
      <c r="A194" s="4"/>
      <c r="B194" s="4"/>
      <c r="C194" s="4"/>
      <c r="D194" s="4"/>
      <c r="E194" s="4"/>
      <c r="F194" s="4"/>
      <c r="H194">
        <f t="shared" si="15"/>
        <v>0</v>
      </c>
      <c r="I194">
        <f t="shared" ref="I194:I257" si="18">C194*$I$1</f>
        <v>0</v>
      </c>
      <c r="J194">
        <f t="shared" ref="J194:J257" si="19">D194*$J$1</f>
        <v>0</v>
      </c>
      <c r="K194">
        <f t="shared" ref="K194:K257" si="20">E194*$K$1</f>
        <v>0</v>
      </c>
      <c r="L194">
        <f t="shared" si="16"/>
        <v>0</v>
      </c>
      <c r="M194">
        <f t="shared" si="17"/>
        <v>0</v>
      </c>
    </row>
    <row r="195" spans="1:13" x14ac:dyDescent="0.25">
      <c r="A195" s="4"/>
      <c r="B195" s="4"/>
      <c r="C195" s="4"/>
      <c r="D195" s="4"/>
      <c r="E195" s="4"/>
      <c r="F195" s="4"/>
      <c r="H195">
        <f t="shared" ref="H195:H258" si="21">B195*$H$1</f>
        <v>0</v>
      </c>
      <c r="I195">
        <f t="shared" si="18"/>
        <v>0</v>
      </c>
      <c r="J195">
        <f t="shared" si="19"/>
        <v>0</v>
      </c>
      <c r="K195">
        <f t="shared" si="20"/>
        <v>0</v>
      </c>
      <c r="L195">
        <f t="shared" ref="L195:L258" si="22">F195*$L$1</f>
        <v>0</v>
      </c>
      <c r="M195">
        <f t="shared" ref="M195:M258" si="23">SUM(H195:L195)</f>
        <v>0</v>
      </c>
    </row>
    <row r="196" spans="1:13" x14ac:dyDescent="0.25">
      <c r="A196" s="4"/>
      <c r="B196" s="4"/>
      <c r="C196" s="4"/>
      <c r="D196" s="4"/>
      <c r="E196" s="4"/>
      <c r="F196" s="4"/>
      <c r="H196">
        <f t="shared" si="21"/>
        <v>0</v>
      </c>
      <c r="I196">
        <f t="shared" si="18"/>
        <v>0</v>
      </c>
      <c r="J196">
        <f t="shared" si="19"/>
        <v>0</v>
      </c>
      <c r="K196">
        <f t="shared" si="20"/>
        <v>0</v>
      </c>
      <c r="L196">
        <f t="shared" si="22"/>
        <v>0</v>
      </c>
      <c r="M196">
        <f t="shared" si="23"/>
        <v>0</v>
      </c>
    </row>
    <row r="197" spans="1:13" x14ac:dyDescent="0.25">
      <c r="A197" s="4"/>
      <c r="B197" s="4"/>
      <c r="C197" s="4"/>
      <c r="D197" s="4"/>
      <c r="E197" s="4"/>
      <c r="F197" s="4"/>
      <c r="H197">
        <f t="shared" si="21"/>
        <v>0</v>
      </c>
      <c r="I197">
        <f t="shared" si="18"/>
        <v>0</v>
      </c>
      <c r="J197">
        <f t="shared" si="19"/>
        <v>0</v>
      </c>
      <c r="K197">
        <f t="shared" si="20"/>
        <v>0</v>
      </c>
      <c r="L197">
        <f t="shared" si="22"/>
        <v>0</v>
      </c>
      <c r="M197">
        <f t="shared" si="23"/>
        <v>0</v>
      </c>
    </row>
    <row r="198" spans="1:13" x14ac:dyDescent="0.25">
      <c r="A198" s="4"/>
      <c r="B198" s="4"/>
      <c r="C198" s="4"/>
      <c r="D198" s="4"/>
      <c r="E198" s="4"/>
      <c r="F198" s="4"/>
      <c r="H198">
        <f t="shared" si="21"/>
        <v>0</v>
      </c>
      <c r="I198">
        <f t="shared" si="18"/>
        <v>0</v>
      </c>
      <c r="J198">
        <f t="shared" si="19"/>
        <v>0</v>
      </c>
      <c r="K198">
        <f t="shared" si="20"/>
        <v>0</v>
      </c>
      <c r="L198">
        <f t="shared" si="22"/>
        <v>0</v>
      </c>
      <c r="M198">
        <f t="shared" si="23"/>
        <v>0</v>
      </c>
    </row>
    <row r="199" spans="1:13" x14ac:dyDescent="0.25">
      <c r="A199" s="4"/>
      <c r="B199" s="4"/>
      <c r="C199" s="4"/>
      <c r="D199" s="4"/>
      <c r="E199" s="4"/>
      <c r="F199" s="4"/>
      <c r="H199">
        <f t="shared" si="21"/>
        <v>0</v>
      </c>
      <c r="I199">
        <f t="shared" si="18"/>
        <v>0</v>
      </c>
      <c r="J199">
        <f t="shared" si="19"/>
        <v>0</v>
      </c>
      <c r="K199">
        <f t="shared" si="20"/>
        <v>0</v>
      </c>
      <c r="L199">
        <f t="shared" si="22"/>
        <v>0</v>
      </c>
      <c r="M199">
        <f t="shared" si="23"/>
        <v>0</v>
      </c>
    </row>
    <row r="200" spans="1:13" x14ac:dyDescent="0.25">
      <c r="A200" s="4"/>
      <c r="B200" s="4"/>
      <c r="C200" s="4"/>
      <c r="D200" s="4"/>
      <c r="E200" s="4"/>
      <c r="F200" s="4"/>
      <c r="H200">
        <f t="shared" si="21"/>
        <v>0</v>
      </c>
      <c r="I200">
        <f t="shared" si="18"/>
        <v>0</v>
      </c>
      <c r="J200">
        <f t="shared" si="19"/>
        <v>0</v>
      </c>
      <c r="K200">
        <f t="shared" si="20"/>
        <v>0</v>
      </c>
      <c r="L200">
        <f t="shared" si="22"/>
        <v>0</v>
      </c>
      <c r="M200">
        <f t="shared" si="23"/>
        <v>0</v>
      </c>
    </row>
    <row r="201" spans="1:13" x14ac:dyDescent="0.25">
      <c r="A201" s="4"/>
      <c r="B201" s="4"/>
      <c r="C201" s="4"/>
      <c r="D201" s="4"/>
      <c r="E201" s="4"/>
      <c r="F201" s="4"/>
      <c r="H201">
        <f t="shared" si="21"/>
        <v>0</v>
      </c>
      <c r="I201">
        <f t="shared" si="18"/>
        <v>0</v>
      </c>
      <c r="J201">
        <f t="shared" si="19"/>
        <v>0</v>
      </c>
      <c r="K201">
        <f t="shared" si="20"/>
        <v>0</v>
      </c>
      <c r="L201">
        <f t="shared" si="22"/>
        <v>0</v>
      </c>
      <c r="M201">
        <f t="shared" si="23"/>
        <v>0</v>
      </c>
    </row>
    <row r="202" spans="1:13" x14ac:dyDescent="0.25">
      <c r="A202" s="4"/>
      <c r="B202" s="4"/>
      <c r="C202" s="4"/>
      <c r="D202" s="4"/>
      <c r="E202" s="4"/>
      <c r="F202" s="4"/>
      <c r="H202">
        <f t="shared" si="21"/>
        <v>0</v>
      </c>
      <c r="I202">
        <f t="shared" si="18"/>
        <v>0</v>
      </c>
      <c r="J202">
        <f t="shared" si="19"/>
        <v>0</v>
      </c>
      <c r="K202">
        <f t="shared" si="20"/>
        <v>0</v>
      </c>
      <c r="L202">
        <f t="shared" si="22"/>
        <v>0</v>
      </c>
      <c r="M202">
        <f t="shared" si="23"/>
        <v>0</v>
      </c>
    </row>
    <row r="203" spans="1:13" x14ac:dyDescent="0.25">
      <c r="A203" s="4"/>
      <c r="B203" s="4"/>
      <c r="C203" s="4"/>
      <c r="D203" s="4"/>
      <c r="E203" s="4"/>
      <c r="F203" s="4"/>
      <c r="H203">
        <f t="shared" si="21"/>
        <v>0</v>
      </c>
      <c r="I203">
        <f t="shared" si="18"/>
        <v>0</v>
      </c>
      <c r="J203">
        <f t="shared" si="19"/>
        <v>0</v>
      </c>
      <c r="K203">
        <f t="shared" si="20"/>
        <v>0</v>
      </c>
      <c r="L203">
        <f t="shared" si="22"/>
        <v>0</v>
      </c>
      <c r="M203">
        <f t="shared" si="23"/>
        <v>0</v>
      </c>
    </row>
    <row r="204" spans="1:13" x14ac:dyDescent="0.25">
      <c r="A204" s="4"/>
      <c r="B204" s="4"/>
      <c r="C204" s="4"/>
      <c r="D204" s="4"/>
      <c r="E204" s="4"/>
      <c r="F204" s="4"/>
      <c r="H204">
        <f t="shared" si="21"/>
        <v>0</v>
      </c>
      <c r="I204">
        <f t="shared" si="18"/>
        <v>0</v>
      </c>
      <c r="J204">
        <f t="shared" si="19"/>
        <v>0</v>
      </c>
      <c r="K204">
        <f t="shared" si="20"/>
        <v>0</v>
      </c>
      <c r="L204">
        <f t="shared" si="22"/>
        <v>0</v>
      </c>
      <c r="M204">
        <f t="shared" si="23"/>
        <v>0</v>
      </c>
    </row>
    <row r="205" spans="1:13" x14ac:dyDescent="0.25">
      <c r="A205" s="4"/>
      <c r="B205" s="4"/>
      <c r="C205" s="4"/>
      <c r="D205" s="4"/>
      <c r="E205" s="4"/>
      <c r="F205" s="4"/>
      <c r="H205">
        <f t="shared" si="21"/>
        <v>0</v>
      </c>
      <c r="I205">
        <f t="shared" si="18"/>
        <v>0</v>
      </c>
      <c r="J205">
        <f t="shared" si="19"/>
        <v>0</v>
      </c>
      <c r="K205">
        <f t="shared" si="20"/>
        <v>0</v>
      </c>
      <c r="L205">
        <f t="shared" si="22"/>
        <v>0</v>
      </c>
      <c r="M205">
        <f t="shared" si="23"/>
        <v>0</v>
      </c>
    </row>
    <row r="206" spans="1:13" x14ac:dyDescent="0.25">
      <c r="A206" s="4"/>
      <c r="B206" s="4"/>
      <c r="C206" s="4"/>
      <c r="D206" s="4"/>
      <c r="E206" s="4"/>
      <c r="F206" s="4"/>
      <c r="H206">
        <f t="shared" si="21"/>
        <v>0</v>
      </c>
      <c r="I206">
        <f t="shared" si="18"/>
        <v>0</v>
      </c>
      <c r="J206">
        <f t="shared" si="19"/>
        <v>0</v>
      </c>
      <c r="K206">
        <f t="shared" si="20"/>
        <v>0</v>
      </c>
      <c r="L206">
        <f t="shared" si="22"/>
        <v>0</v>
      </c>
      <c r="M206">
        <f t="shared" si="23"/>
        <v>0</v>
      </c>
    </row>
    <row r="207" spans="1:13" x14ac:dyDescent="0.25">
      <c r="A207" s="4"/>
      <c r="B207" s="4"/>
      <c r="C207" s="4"/>
      <c r="D207" s="4"/>
      <c r="E207" s="4"/>
      <c r="F207" s="4"/>
      <c r="H207">
        <f t="shared" si="21"/>
        <v>0</v>
      </c>
      <c r="I207">
        <f t="shared" si="18"/>
        <v>0</v>
      </c>
      <c r="J207">
        <f t="shared" si="19"/>
        <v>0</v>
      </c>
      <c r="K207">
        <f t="shared" si="20"/>
        <v>0</v>
      </c>
      <c r="L207">
        <f t="shared" si="22"/>
        <v>0</v>
      </c>
      <c r="M207">
        <f t="shared" si="23"/>
        <v>0</v>
      </c>
    </row>
    <row r="208" spans="1:13" x14ac:dyDescent="0.25">
      <c r="A208" s="4"/>
      <c r="B208" s="4"/>
      <c r="C208" s="4"/>
      <c r="D208" s="4"/>
      <c r="E208" s="4"/>
      <c r="F208" s="4"/>
      <c r="H208">
        <f t="shared" si="21"/>
        <v>0</v>
      </c>
      <c r="I208">
        <f t="shared" si="18"/>
        <v>0</v>
      </c>
      <c r="J208">
        <f t="shared" si="19"/>
        <v>0</v>
      </c>
      <c r="K208">
        <f t="shared" si="20"/>
        <v>0</v>
      </c>
      <c r="L208">
        <f t="shared" si="22"/>
        <v>0</v>
      </c>
      <c r="M208">
        <f t="shared" si="23"/>
        <v>0</v>
      </c>
    </row>
    <row r="209" spans="1:13" x14ac:dyDescent="0.25">
      <c r="A209" s="4"/>
      <c r="B209" s="4"/>
      <c r="C209" s="4"/>
      <c r="D209" s="4"/>
      <c r="E209" s="4"/>
      <c r="F209" s="4"/>
      <c r="H209">
        <f t="shared" si="21"/>
        <v>0</v>
      </c>
      <c r="I209">
        <f t="shared" si="18"/>
        <v>0</v>
      </c>
      <c r="J209">
        <f t="shared" si="19"/>
        <v>0</v>
      </c>
      <c r="K209">
        <f t="shared" si="20"/>
        <v>0</v>
      </c>
      <c r="L209">
        <f t="shared" si="22"/>
        <v>0</v>
      </c>
      <c r="M209">
        <f t="shared" si="23"/>
        <v>0</v>
      </c>
    </row>
    <row r="210" spans="1:13" x14ac:dyDescent="0.25">
      <c r="A210" s="4"/>
      <c r="B210" s="4"/>
      <c r="C210" s="4"/>
      <c r="D210" s="4"/>
      <c r="E210" s="4"/>
      <c r="F210" s="4"/>
      <c r="H210">
        <f t="shared" si="21"/>
        <v>0</v>
      </c>
      <c r="I210">
        <f t="shared" si="18"/>
        <v>0</v>
      </c>
      <c r="J210">
        <f t="shared" si="19"/>
        <v>0</v>
      </c>
      <c r="K210">
        <f t="shared" si="20"/>
        <v>0</v>
      </c>
      <c r="L210">
        <f t="shared" si="22"/>
        <v>0</v>
      </c>
      <c r="M210">
        <f t="shared" si="23"/>
        <v>0</v>
      </c>
    </row>
    <row r="211" spans="1:13" x14ac:dyDescent="0.25">
      <c r="A211" s="4"/>
      <c r="B211" s="4"/>
      <c r="C211" s="4"/>
      <c r="D211" s="4"/>
      <c r="E211" s="4"/>
      <c r="F211" s="4"/>
      <c r="H211">
        <f t="shared" si="21"/>
        <v>0</v>
      </c>
      <c r="I211">
        <f t="shared" si="18"/>
        <v>0</v>
      </c>
      <c r="J211">
        <f t="shared" si="19"/>
        <v>0</v>
      </c>
      <c r="K211">
        <f t="shared" si="20"/>
        <v>0</v>
      </c>
      <c r="L211">
        <f t="shared" si="22"/>
        <v>0</v>
      </c>
      <c r="M211">
        <f t="shared" si="23"/>
        <v>0</v>
      </c>
    </row>
    <row r="212" spans="1:13" x14ac:dyDescent="0.25">
      <c r="A212" s="4"/>
      <c r="B212" s="4"/>
      <c r="C212" s="4"/>
      <c r="D212" s="4"/>
      <c r="E212" s="4"/>
      <c r="F212" s="4"/>
      <c r="H212">
        <f t="shared" si="21"/>
        <v>0</v>
      </c>
      <c r="I212">
        <f t="shared" si="18"/>
        <v>0</v>
      </c>
      <c r="J212">
        <f t="shared" si="19"/>
        <v>0</v>
      </c>
      <c r="K212">
        <f t="shared" si="20"/>
        <v>0</v>
      </c>
      <c r="L212">
        <f t="shared" si="22"/>
        <v>0</v>
      </c>
      <c r="M212">
        <f t="shared" si="23"/>
        <v>0</v>
      </c>
    </row>
    <row r="213" spans="1:13" x14ac:dyDescent="0.25">
      <c r="A213" s="4"/>
      <c r="B213" s="4"/>
      <c r="C213" s="4"/>
      <c r="D213" s="4"/>
      <c r="E213" s="4"/>
      <c r="F213" s="4"/>
      <c r="H213">
        <f t="shared" si="21"/>
        <v>0</v>
      </c>
      <c r="I213">
        <f t="shared" si="18"/>
        <v>0</v>
      </c>
      <c r="J213">
        <f t="shared" si="19"/>
        <v>0</v>
      </c>
      <c r="K213">
        <f t="shared" si="20"/>
        <v>0</v>
      </c>
      <c r="L213">
        <f t="shared" si="22"/>
        <v>0</v>
      </c>
      <c r="M213">
        <f t="shared" si="23"/>
        <v>0</v>
      </c>
    </row>
    <row r="214" spans="1:13" x14ac:dyDescent="0.25">
      <c r="A214" s="4"/>
      <c r="B214" s="4"/>
      <c r="C214" s="4"/>
      <c r="D214" s="4"/>
      <c r="E214" s="4"/>
      <c r="F214" s="4"/>
      <c r="H214">
        <f t="shared" si="21"/>
        <v>0</v>
      </c>
      <c r="I214">
        <f t="shared" si="18"/>
        <v>0</v>
      </c>
      <c r="J214">
        <f t="shared" si="19"/>
        <v>0</v>
      </c>
      <c r="K214">
        <f t="shared" si="20"/>
        <v>0</v>
      </c>
      <c r="L214">
        <f t="shared" si="22"/>
        <v>0</v>
      </c>
      <c r="M214">
        <f t="shared" si="23"/>
        <v>0</v>
      </c>
    </row>
    <row r="215" spans="1:13" x14ac:dyDescent="0.25">
      <c r="A215" s="4"/>
      <c r="B215" s="4"/>
      <c r="C215" s="4"/>
      <c r="D215" s="4"/>
      <c r="E215" s="4"/>
      <c r="F215" s="4"/>
      <c r="H215">
        <f t="shared" si="21"/>
        <v>0</v>
      </c>
      <c r="I215">
        <f t="shared" si="18"/>
        <v>0</v>
      </c>
      <c r="J215">
        <f t="shared" si="19"/>
        <v>0</v>
      </c>
      <c r="K215">
        <f t="shared" si="20"/>
        <v>0</v>
      </c>
      <c r="L215">
        <f t="shared" si="22"/>
        <v>0</v>
      </c>
      <c r="M215">
        <f t="shared" si="23"/>
        <v>0</v>
      </c>
    </row>
    <row r="216" spans="1:13" x14ac:dyDescent="0.25">
      <c r="A216" s="4"/>
      <c r="B216" s="4"/>
      <c r="C216" s="4"/>
      <c r="D216" s="4"/>
      <c r="E216" s="4"/>
      <c r="F216" s="4"/>
      <c r="H216">
        <f t="shared" si="21"/>
        <v>0</v>
      </c>
      <c r="I216">
        <f t="shared" si="18"/>
        <v>0</v>
      </c>
      <c r="J216">
        <f t="shared" si="19"/>
        <v>0</v>
      </c>
      <c r="K216">
        <f t="shared" si="20"/>
        <v>0</v>
      </c>
      <c r="L216">
        <f t="shared" si="22"/>
        <v>0</v>
      </c>
      <c r="M216">
        <f t="shared" si="23"/>
        <v>0</v>
      </c>
    </row>
    <row r="217" spans="1:13" x14ac:dyDescent="0.25">
      <c r="A217" s="4"/>
      <c r="B217" s="4"/>
      <c r="C217" s="4"/>
      <c r="D217" s="4"/>
      <c r="E217" s="4"/>
      <c r="F217" s="4"/>
      <c r="H217">
        <f t="shared" si="21"/>
        <v>0</v>
      </c>
      <c r="I217">
        <f t="shared" si="18"/>
        <v>0</v>
      </c>
      <c r="J217">
        <f t="shared" si="19"/>
        <v>0</v>
      </c>
      <c r="K217">
        <f t="shared" si="20"/>
        <v>0</v>
      </c>
      <c r="L217">
        <f t="shared" si="22"/>
        <v>0</v>
      </c>
      <c r="M217">
        <f t="shared" si="23"/>
        <v>0</v>
      </c>
    </row>
    <row r="218" spans="1:13" x14ac:dyDescent="0.25">
      <c r="A218" s="4"/>
      <c r="B218" s="4"/>
      <c r="C218" s="4"/>
      <c r="D218" s="4"/>
      <c r="E218" s="4"/>
      <c r="F218" s="4"/>
      <c r="H218">
        <f t="shared" si="21"/>
        <v>0</v>
      </c>
      <c r="I218">
        <f t="shared" si="18"/>
        <v>0</v>
      </c>
      <c r="J218">
        <f t="shared" si="19"/>
        <v>0</v>
      </c>
      <c r="K218">
        <f t="shared" si="20"/>
        <v>0</v>
      </c>
      <c r="L218">
        <f t="shared" si="22"/>
        <v>0</v>
      </c>
      <c r="M218">
        <f t="shared" si="23"/>
        <v>0</v>
      </c>
    </row>
    <row r="219" spans="1:13" x14ac:dyDescent="0.25">
      <c r="A219" s="4"/>
      <c r="B219" s="4"/>
      <c r="C219" s="4"/>
      <c r="D219" s="4"/>
      <c r="E219" s="4"/>
      <c r="F219" s="4"/>
      <c r="H219">
        <f t="shared" si="21"/>
        <v>0</v>
      </c>
      <c r="I219">
        <f t="shared" si="18"/>
        <v>0</v>
      </c>
      <c r="J219">
        <f t="shared" si="19"/>
        <v>0</v>
      </c>
      <c r="K219">
        <f t="shared" si="20"/>
        <v>0</v>
      </c>
      <c r="L219">
        <f t="shared" si="22"/>
        <v>0</v>
      </c>
      <c r="M219">
        <f t="shared" si="23"/>
        <v>0</v>
      </c>
    </row>
    <row r="220" spans="1:13" x14ac:dyDescent="0.25">
      <c r="A220" s="4"/>
      <c r="B220" s="4"/>
      <c r="C220" s="4"/>
      <c r="D220" s="4"/>
      <c r="E220" s="4"/>
      <c r="F220" s="4"/>
      <c r="H220">
        <f t="shared" si="21"/>
        <v>0</v>
      </c>
      <c r="I220">
        <f t="shared" si="18"/>
        <v>0</v>
      </c>
      <c r="J220">
        <f t="shared" si="19"/>
        <v>0</v>
      </c>
      <c r="K220">
        <f t="shared" si="20"/>
        <v>0</v>
      </c>
      <c r="L220">
        <f t="shared" si="22"/>
        <v>0</v>
      </c>
      <c r="M220">
        <f t="shared" si="23"/>
        <v>0</v>
      </c>
    </row>
    <row r="221" spans="1:13" x14ac:dyDescent="0.25">
      <c r="A221" s="4"/>
      <c r="B221" s="4"/>
      <c r="C221" s="4"/>
      <c r="D221" s="4"/>
      <c r="E221" s="4"/>
      <c r="F221" s="4"/>
      <c r="H221">
        <f t="shared" si="21"/>
        <v>0</v>
      </c>
      <c r="I221">
        <f t="shared" si="18"/>
        <v>0</v>
      </c>
      <c r="J221">
        <f t="shared" si="19"/>
        <v>0</v>
      </c>
      <c r="K221">
        <f t="shared" si="20"/>
        <v>0</v>
      </c>
      <c r="L221">
        <f t="shared" si="22"/>
        <v>0</v>
      </c>
      <c r="M221">
        <f t="shared" si="23"/>
        <v>0</v>
      </c>
    </row>
    <row r="222" spans="1:13" x14ac:dyDescent="0.25">
      <c r="A222" s="4"/>
      <c r="B222" s="4"/>
      <c r="C222" s="4"/>
      <c r="D222" s="4"/>
      <c r="E222" s="4"/>
      <c r="F222" s="4"/>
      <c r="H222">
        <f t="shared" si="21"/>
        <v>0</v>
      </c>
      <c r="I222">
        <f t="shared" si="18"/>
        <v>0</v>
      </c>
      <c r="J222">
        <f t="shared" si="19"/>
        <v>0</v>
      </c>
      <c r="K222">
        <f t="shared" si="20"/>
        <v>0</v>
      </c>
      <c r="L222">
        <f t="shared" si="22"/>
        <v>0</v>
      </c>
      <c r="M222">
        <f t="shared" si="23"/>
        <v>0</v>
      </c>
    </row>
    <row r="223" spans="1:13" x14ac:dyDescent="0.25">
      <c r="A223" s="4"/>
      <c r="B223" s="4"/>
      <c r="C223" s="4"/>
      <c r="D223" s="4"/>
      <c r="E223" s="4"/>
      <c r="F223" s="4"/>
      <c r="H223">
        <f t="shared" si="21"/>
        <v>0</v>
      </c>
      <c r="I223">
        <f t="shared" si="18"/>
        <v>0</v>
      </c>
      <c r="J223">
        <f t="shared" si="19"/>
        <v>0</v>
      </c>
      <c r="K223">
        <f t="shared" si="20"/>
        <v>0</v>
      </c>
      <c r="L223">
        <f t="shared" si="22"/>
        <v>0</v>
      </c>
      <c r="M223">
        <f t="shared" si="23"/>
        <v>0</v>
      </c>
    </row>
    <row r="224" spans="1:13" x14ac:dyDescent="0.25">
      <c r="A224" s="4"/>
      <c r="B224" s="4"/>
      <c r="C224" s="4"/>
      <c r="D224" s="4"/>
      <c r="E224" s="4"/>
      <c r="F224" s="4"/>
      <c r="H224">
        <f t="shared" si="21"/>
        <v>0</v>
      </c>
      <c r="I224">
        <f t="shared" si="18"/>
        <v>0</v>
      </c>
      <c r="J224">
        <f t="shared" si="19"/>
        <v>0</v>
      </c>
      <c r="K224">
        <f t="shared" si="20"/>
        <v>0</v>
      </c>
      <c r="L224">
        <f t="shared" si="22"/>
        <v>0</v>
      </c>
      <c r="M224">
        <f t="shared" si="23"/>
        <v>0</v>
      </c>
    </row>
    <row r="225" spans="1:13" x14ac:dyDescent="0.25">
      <c r="A225" s="4"/>
      <c r="B225" s="4"/>
      <c r="C225" s="4"/>
      <c r="D225" s="4"/>
      <c r="E225" s="4"/>
      <c r="F225" s="4"/>
      <c r="H225">
        <f t="shared" si="21"/>
        <v>0</v>
      </c>
      <c r="I225">
        <f t="shared" si="18"/>
        <v>0</v>
      </c>
      <c r="J225">
        <f t="shared" si="19"/>
        <v>0</v>
      </c>
      <c r="K225">
        <f t="shared" si="20"/>
        <v>0</v>
      </c>
      <c r="L225">
        <f t="shared" si="22"/>
        <v>0</v>
      </c>
      <c r="M225">
        <f t="shared" si="23"/>
        <v>0</v>
      </c>
    </row>
    <row r="226" spans="1:13" x14ac:dyDescent="0.25">
      <c r="A226" s="4"/>
      <c r="B226" s="4"/>
      <c r="C226" s="4"/>
      <c r="D226" s="4"/>
      <c r="E226" s="4"/>
      <c r="F226" s="4"/>
      <c r="H226">
        <f t="shared" si="21"/>
        <v>0</v>
      </c>
      <c r="I226">
        <f t="shared" si="18"/>
        <v>0</v>
      </c>
      <c r="J226">
        <f t="shared" si="19"/>
        <v>0</v>
      </c>
      <c r="K226">
        <f t="shared" si="20"/>
        <v>0</v>
      </c>
      <c r="L226">
        <f t="shared" si="22"/>
        <v>0</v>
      </c>
      <c r="M226">
        <f t="shared" si="23"/>
        <v>0</v>
      </c>
    </row>
    <row r="227" spans="1:13" x14ac:dyDescent="0.25">
      <c r="A227" s="4"/>
      <c r="B227" s="4"/>
      <c r="C227" s="4"/>
      <c r="D227" s="4"/>
      <c r="E227" s="4"/>
      <c r="F227" s="4"/>
      <c r="H227">
        <f t="shared" si="21"/>
        <v>0</v>
      </c>
      <c r="I227">
        <f t="shared" si="18"/>
        <v>0</v>
      </c>
      <c r="J227">
        <f t="shared" si="19"/>
        <v>0</v>
      </c>
      <c r="K227">
        <f t="shared" si="20"/>
        <v>0</v>
      </c>
      <c r="L227">
        <f t="shared" si="22"/>
        <v>0</v>
      </c>
      <c r="M227">
        <f t="shared" si="23"/>
        <v>0</v>
      </c>
    </row>
    <row r="228" spans="1:13" x14ac:dyDescent="0.25">
      <c r="A228" s="4"/>
      <c r="B228" s="4"/>
      <c r="C228" s="4"/>
      <c r="D228" s="4"/>
      <c r="E228" s="4"/>
      <c r="F228" s="4"/>
      <c r="H228">
        <f t="shared" si="21"/>
        <v>0</v>
      </c>
      <c r="I228">
        <f t="shared" si="18"/>
        <v>0</v>
      </c>
      <c r="J228">
        <f t="shared" si="19"/>
        <v>0</v>
      </c>
      <c r="K228">
        <f t="shared" si="20"/>
        <v>0</v>
      </c>
      <c r="L228">
        <f t="shared" si="22"/>
        <v>0</v>
      </c>
      <c r="M228">
        <f t="shared" si="23"/>
        <v>0</v>
      </c>
    </row>
    <row r="229" spans="1:13" x14ac:dyDescent="0.25">
      <c r="A229" s="4"/>
      <c r="B229" s="4"/>
      <c r="C229" s="4"/>
      <c r="D229" s="4"/>
      <c r="E229" s="4"/>
      <c r="F229" s="4"/>
      <c r="H229">
        <f t="shared" si="21"/>
        <v>0</v>
      </c>
      <c r="I229">
        <f t="shared" si="18"/>
        <v>0</v>
      </c>
      <c r="J229">
        <f t="shared" si="19"/>
        <v>0</v>
      </c>
      <c r="K229">
        <f t="shared" si="20"/>
        <v>0</v>
      </c>
      <c r="L229">
        <f t="shared" si="22"/>
        <v>0</v>
      </c>
      <c r="M229">
        <f t="shared" si="23"/>
        <v>0</v>
      </c>
    </row>
    <row r="230" spans="1:13" x14ac:dyDescent="0.25">
      <c r="A230" s="4"/>
      <c r="B230" s="4"/>
      <c r="C230" s="4"/>
      <c r="D230" s="4"/>
      <c r="E230" s="4"/>
      <c r="F230" s="4"/>
      <c r="H230">
        <f t="shared" si="21"/>
        <v>0</v>
      </c>
      <c r="I230">
        <f t="shared" si="18"/>
        <v>0</v>
      </c>
      <c r="J230">
        <f t="shared" si="19"/>
        <v>0</v>
      </c>
      <c r="K230">
        <f t="shared" si="20"/>
        <v>0</v>
      </c>
      <c r="L230">
        <f t="shared" si="22"/>
        <v>0</v>
      </c>
      <c r="M230">
        <f t="shared" si="23"/>
        <v>0</v>
      </c>
    </row>
    <row r="231" spans="1:13" x14ac:dyDescent="0.25">
      <c r="A231" s="4"/>
      <c r="B231" s="4"/>
      <c r="C231" s="4"/>
      <c r="D231" s="4"/>
      <c r="E231" s="4"/>
      <c r="F231" s="4"/>
      <c r="H231">
        <f t="shared" si="21"/>
        <v>0</v>
      </c>
      <c r="I231">
        <f t="shared" si="18"/>
        <v>0</v>
      </c>
      <c r="J231">
        <f t="shared" si="19"/>
        <v>0</v>
      </c>
      <c r="K231">
        <f t="shared" si="20"/>
        <v>0</v>
      </c>
      <c r="L231">
        <f t="shared" si="22"/>
        <v>0</v>
      </c>
      <c r="M231">
        <f t="shared" si="23"/>
        <v>0</v>
      </c>
    </row>
    <row r="232" spans="1:13" x14ac:dyDescent="0.25">
      <c r="A232" s="4"/>
      <c r="B232" s="4"/>
      <c r="C232" s="4"/>
      <c r="D232" s="4"/>
      <c r="E232" s="4"/>
      <c r="F232" s="4"/>
      <c r="H232">
        <f t="shared" si="21"/>
        <v>0</v>
      </c>
      <c r="I232">
        <f t="shared" si="18"/>
        <v>0</v>
      </c>
      <c r="J232">
        <f t="shared" si="19"/>
        <v>0</v>
      </c>
      <c r="K232">
        <f t="shared" si="20"/>
        <v>0</v>
      </c>
      <c r="L232">
        <f t="shared" si="22"/>
        <v>0</v>
      </c>
      <c r="M232">
        <f t="shared" si="23"/>
        <v>0</v>
      </c>
    </row>
    <row r="233" spans="1:13" x14ac:dyDescent="0.25">
      <c r="A233" s="4"/>
      <c r="B233" s="4"/>
      <c r="C233" s="4"/>
      <c r="D233" s="4"/>
      <c r="E233" s="4"/>
      <c r="F233" s="4"/>
      <c r="H233">
        <f t="shared" si="21"/>
        <v>0</v>
      </c>
      <c r="I233">
        <f t="shared" si="18"/>
        <v>0</v>
      </c>
      <c r="J233">
        <f t="shared" si="19"/>
        <v>0</v>
      </c>
      <c r="K233">
        <f t="shared" si="20"/>
        <v>0</v>
      </c>
      <c r="L233">
        <f t="shared" si="22"/>
        <v>0</v>
      </c>
      <c r="M233">
        <f t="shared" si="23"/>
        <v>0</v>
      </c>
    </row>
    <row r="234" spans="1:13" x14ac:dyDescent="0.25">
      <c r="A234" s="4"/>
      <c r="B234" s="4"/>
      <c r="C234" s="4"/>
      <c r="D234" s="4"/>
      <c r="E234" s="4"/>
      <c r="F234" s="4"/>
      <c r="H234">
        <f t="shared" si="21"/>
        <v>0</v>
      </c>
      <c r="I234">
        <f t="shared" si="18"/>
        <v>0</v>
      </c>
      <c r="J234">
        <f t="shared" si="19"/>
        <v>0</v>
      </c>
      <c r="K234">
        <f t="shared" si="20"/>
        <v>0</v>
      </c>
      <c r="L234">
        <f t="shared" si="22"/>
        <v>0</v>
      </c>
      <c r="M234">
        <f t="shared" si="23"/>
        <v>0</v>
      </c>
    </row>
    <row r="235" spans="1:13" x14ac:dyDescent="0.25">
      <c r="A235" s="4"/>
      <c r="B235" s="4"/>
      <c r="C235" s="4"/>
      <c r="D235" s="4"/>
      <c r="E235" s="4"/>
      <c r="F235" s="4"/>
      <c r="H235">
        <f t="shared" si="21"/>
        <v>0</v>
      </c>
      <c r="I235">
        <f t="shared" si="18"/>
        <v>0</v>
      </c>
      <c r="J235">
        <f t="shared" si="19"/>
        <v>0</v>
      </c>
      <c r="K235">
        <f t="shared" si="20"/>
        <v>0</v>
      </c>
      <c r="L235">
        <f t="shared" si="22"/>
        <v>0</v>
      </c>
      <c r="M235">
        <f t="shared" si="23"/>
        <v>0</v>
      </c>
    </row>
    <row r="236" spans="1:13" x14ac:dyDescent="0.25">
      <c r="A236" s="4"/>
      <c r="B236" s="4"/>
      <c r="C236" s="4"/>
      <c r="D236" s="4"/>
      <c r="E236" s="4"/>
      <c r="F236" s="4"/>
      <c r="H236">
        <f t="shared" si="21"/>
        <v>0</v>
      </c>
      <c r="I236">
        <f t="shared" si="18"/>
        <v>0</v>
      </c>
      <c r="J236">
        <f t="shared" si="19"/>
        <v>0</v>
      </c>
      <c r="K236">
        <f t="shared" si="20"/>
        <v>0</v>
      </c>
      <c r="L236">
        <f t="shared" si="22"/>
        <v>0</v>
      </c>
      <c r="M236">
        <f t="shared" si="23"/>
        <v>0</v>
      </c>
    </row>
    <row r="237" spans="1:13" x14ac:dyDescent="0.25">
      <c r="A237" s="4"/>
      <c r="B237" s="4"/>
      <c r="C237" s="4"/>
      <c r="D237" s="4"/>
      <c r="E237" s="4"/>
      <c r="F237" s="4"/>
      <c r="H237">
        <f t="shared" si="21"/>
        <v>0</v>
      </c>
      <c r="I237">
        <f t="shared" si="18"/>
        <v>0</v>
      </c>
      <c r="J237">
        <f t="shared" si="19"/>
        <v>0</v>
      </c>
      <c r="K237">
        <f t="shared" si="20"/>
        <v>0</v>
      </c>
      <c r="L237">
        <f t="shared" si="22"/>
        <v>0</v>
      </c>
      <c r="M237">
        <f t="shared" si="23"/>
        <v>0</v>
      </c>
    </row>
    <row r="238" spans="1:13" x14ac:dyDescent="0.25">
      <c r="A238" s="4"/>
      <c r="B238" s="4"/>
      <c r="C238" s="4"/>
      <c r="D238" s="4"/>
      <c r="E238" s="4"/>
      <c r="F238" s="4"/>
      <c r="H238">
        <f t="shared" si="21"/>
        <v>0</v>
      </c>
      <c r="I238">
        <f t="shared" si="18"/>
        <v>0</v>
      </c>
      <c r="J238">
        <f t="shared" si="19"/>
        <v>0</v>
      </c>
      <c r="K238">
        <f t="shared" si="20"/>
        <v>0</v>
      </c>
      <c r="L238">
        <f t="shared" si="22"/>
        <v>0</v>
      </c>
      <c r="M238">
        <f t="shared" si="23"/>
        <v>0</v>
      </c>
    </row>
    <row r="239" spans="1:13" x14ac:dyDescent="0.25">
      <c r="A239" s="4"/>
      <c r="B239" s="4"/>
      <c r="C239" s="4"/>
      <c r="D239" s="4"/>
      <c r="E239" s="4"/>
      <c r="F239" s="4"/>
      <c r="H239">
        <f t="shared" si="21"/>
        <v>0</v>
      </c>
      <c r="I239">
        <f t="shared" si="18"/>
        <v>0</v>
      </c>
      <c r="J239">
        <f t="shared" si="19"/>
        <v>0</v>
      </c>
      <c r="K239">
        <f t="shared" si="20"/>
        <v>0</v>
      </c>
      <c r="L239">
        <f t="shared" si="22"/>
        <v>0</v>
      </c>
      <c r="M239">
        <f t="shared" si="23"/>
        <v>0</v>
      </c>
    </row>
    <row r="240" spans="1:13" x14ac:dyDescent="0.25">
      <c r="A240" s="4"/>
      <c r="B240" s="4"/>
      <c r="C240" s="4"/>
      <c r="D240" s="4"/>
      <c r="E240" s="4"/>
      <c r="F240" s="4"/>
      <c r="H240">
        <f t="shared" si="21"/>
        <v>0</v>
      </c>
      <c r="I240">
        <f t="shared" si="18"/>
        <v>0</v>
      </c>
      <c r="J240">
        <f t="shared" si="19"/>
        <v>0</v>
      </c>
      <c r="K240">
        <f t="shared" si="20"/>
        <v>0</v>
      </c>
      <c r="L240">
        <f t="shared" si="22"/>
        <v>0</v>
      </c>
      <c r="M240">
        <f t="shared" si="23"/>
        <v>0</v>
      </c>
    </row>
    <row r="241" spans="1:13" x14ac:dyDescent="0.25">
      <c r="A241" s="4"/>
      <c r="B241" s="4"/>
      <c r="C241" s="4"/>
      <c r="D241" s="4"/>
      <c r="E241" s="4"/>
      <c r="F241" s="4"/>
      <c r="H241">
        <f t="shared" si="21"/>
        <v>0</v>
      </c>
      <c r="I241">
        <f t="shared" si="18"/>
        <v>0</v>
      </c>
      <c r="J241">
        <f t="shared" si="19"/>
        <v>0</v>
      </c>
      <c r="K241">
        <f t="shared" si="20"/>
        <v>0</v>
      </c>
      <c r="L241">
        <f t="shared" si="22"/>
        <v>0</v>
      </c>
      <c r="M241">
        <f t="shared" si="23"/>
        <v>0</v>
      </c>
    </row>
    <row r="242" spans="1:13" x14ac:dyDescent="0.25">
      <c r="A242" s="4"/>
      <c r="B242" s="4"/>
      <c r="C242" s="4"/>
      <c r="D242" s="4"/>
      <c r="E242" s="4"/>
      <c r="F242" s="4"/>
      <c r="H242">
        <f t="shared" si="21"/>
        <v>0</v>
      </c>
      <c r="I242">
        <f t="shared" si="18"/>
        <v>0</v>
      </c>
      <c r="J242">
        <f t="shared" si="19"/>
        <v>0</v>
      </c>
      <c r="K242">
        <f t="shared" si="20"/>
        <v>0</v>
      </c>
      <c r="L242">
        <f t="shared" si="22"/>
        <v>0</v>
      </c>
      <c r="M242">
        <f t="shared" si="23"/>
        <v>0</v>
      </c>
    </row>
    <row r="243" spans="1:13" x14ac:dyDescent="0.25">
      <c r="A243" s="4"/>
      <c r="B243" s="4"/>
      <c r="C243" s="4"/>
      <c r="D243" s="4"/>
      <c r="E243" s="4"/>
      <c r="F243" s="4"/>
      <c r="H243">
        <f t="shared" si="21"/>
        <v>0</v>
      </c>
      <c r="I243">
        <f t="shared" si="18"/>
        <v>0</v>
      </c>
      <c r="J243">
        <f t="shared" si="19"/>
        <v>0</v>
      </c>
      <c r="K243">
        <f t="shared" si="20"/>
        <v>0</v>
      </c>
      <c r="L243">
        <f t="shared" si="22"/>
        <v>0</v>
      </c>
      <c r="M243">
        <f t="shared" si="23"/>
        <v>0</v>
      </c>
    </row>
    <row r="244" spans="1:13" x14ac:dyDescent="0.25">
      <c r="A244" s="4"/>
      <c r="B244" s="4"/>
      <c r="C244" s="4"/>
      <c r="D244" s="4"/>
      <c r="E244" s="4"/>
      <c r="F244" s="4"/>
      <c r="H244">
        <f t="shared" si="21"/>
        <v>0</v>
      </c>
      <c r="I244">
        <f t="shared" si="18"/>
        <v>0</v>
      </c>
      <c r="J244">
        <f t="shared" si="19"/>
        <v>0</v>
      </c>
      <c r="K244">
        <f t="shared" si="20"/>
        <v>0</v>
      </c>
      <c r="L244">
        <f t="shared" si="22"/>
        <v>0</v>
      </c>
      <c r="M244">
        <f t="shared" si="23"/>
        <v>0</v>
      </c>
    </row>
    <row r="245" spans="1:13" x14ac:dyDescent="0.25">
      <c r="A245" s="4"/>
      <c r="B245" s="4"/>
      <c r="C245" s="4"/>
      <c r="D245" s="4"/>
      <c r="E245" s="4"/>
      <c r="F245" s="4"/>
      <c r="H245">
        <f t="shared" si="21"/>
        <v>0</v>
      </c>
      <c r="I245">
        <f t="shared" si="18"/>
        <v>0</v>
      </c>
      <c r="J245">
        <f t="shared" si="19"/>
        <v>0</v>
      </c>
      <c r="K245">
        <f t="shared" si="20"/>
        <v>0</v>
      </c>
      <c r="L245">
        <f t="shared" si="22"/>
        <v>0</v>
      </c>
      <c r="M245">
        <f t="shared" si="23"/>
        <v>0</v>
      </c>
    </row>
    <row r="246" spans="1:13" x14ac:dyDescent="0.25">
      <c r="A246" s="4"/>
      <c r="B246" s="4"/>
      <c r="C246" s="4"/>
      <c r="D246" s="4"/>
      <c r="E246" s="4"/>
      <c r="F246" s="4"/>
      <c r="H246">
        <f t="shared" si="21"/>
        <v>0</v>
      </c>
      <c r="I246">
        <f t="shared" si="18"/>
        <v>0</v>
      </c>
      <c r="J246">
        <f t="shared" si="19"/>
        <v>0</v>
      </c>
      <c r="K246">
        <f t="shared" si="20"/>
        <v>0</v>
      </c>
      <c r="L246">
        <f t="shared" si="22"/>
        <v>0</v>
      </c>
      <c r="M246">
        <f t="shared" si="23"/>
        <v>0</v>
      </c>
    </row>
    <row r="247" spans="1:13" x14ac:dyDescent="0.25">
      <c r="A247" s="4"/>
      <c r="B247" s="4"/>
      <c r="C247" s="4"/>
      <c r="D247" s="4"/>
      <c r="E247" s="4"/>
      <c r="F247" s="4"/>
      <c r="H247">
        <f t="shared" si="21"/>
        <v>0</v>
      </c>
      <c r="I247">
        <f t="shared" si="18"/>
        <v>0</v>
      </c>
      <c r="J247">
        <f t="shared" si="19"/>
        <v>0</v>
      </c>
      <c r="K247">
        <f t="shared" si="20"/>
        <v>0</v>
      </c>
      <c r="L247">
        <f t="shared" si="22"/>
        <v>0</v>
      </c>
      <c r="M247">
        <f t="shared" si="23"/>
        <v>0</v>
      </c>
    </row>
    <row r="248" spans="1:13" x14ac:dyDescent="0.25">
      <c r="A248" s="4"/>
      <c r="B248" s="4"/>
      <c r="C248" s="4"/>
      <c r="D248" s="4"/>
      <c r="E248" s="4"/>
      <c r="F248" s="4"/>
      <c r="H248">
        <f t="shared" si="21"/>
        <v>0</v>
      </c>
      <c r="I248">
        <f t="shared" si="18"/>
        <v>0</v>
      </c>
      <c r="J248">
        <f t="shared" si="19"/>
        <v>0</v>
      </c>
      <c r="K248">
        <f t="shared" si="20"/>
        <v>0</v>
      </c>
      <c r="L248">
        <f t="shared" si="22"/>
        <v>0</v>
      </c>
      <c r="M248">
        <f t="shared" si="23"/>
        <v>0</v>
      </c>
    </row>
    <row r="249" spans="1:13" x14ac:dyDescent="0.25">
      <c r="A249" s="4"/>
      <c r="B249" s="4"/>
      <c r="C249" s="4"/>
      <c r="D249" s="4"/>
      <c r="E249" s="4"/>
      <c r="F249" s="4"/>
      <c r="H249">
        <f t="shared" si="21"/>
        <v>0</v>
      </c>
      <c r="I249">
        <f t="shared" si="18"/>
        <v>0</v>
      </c>
      <c r="J249">
        <f t="shared" si="19"/>
        <v>0</v>
      </c>
      <c r="K249">
        <f t="shared" si="20"/>
        <v>0</v>
      </c>
      <c r="L249">
        <f t="shared" si="22"/>
        <v>0</v>
      </c>
      <c r="M249">
        <f t="shared" si="23"/>
        <v>0</v>
      </c>
    </row>
    <row r="250" spans="1:13" x14ac:dyDescent="0.25">
      <c r="A250" s="4"/>
      <c r="B250" s="4"/>
      <c r="C250" s="4"/>
      <c r="D250" s="4"/>
      <c r="E250" s="4"/>
      <c r="F250" s="4"/>
      <c r="H250">
        <f t="shared" si="21"/>
        <v>0</v>
      </c>
      <c r="I250">
        <f t="shared" si="18"/>
        <v>0</v>
      </c>
      <c r="J250">
        <f t="shared" si="19"/>
        <v>0</v>
      </c>
      <c r="K250">
        <f t="shared" si="20"/>
        <v>0</v>
      </c>
      <c r="L250">
        <f t="shared" si="22"/>
        <v>0</v>
      </c>
      <c r="M250">
        <f t="shared" si="23"/>
        <v>0</v>
      </c>
    </row>
    <row r="251" spans="1:13" x14ac:dyDescent="0.25">
      <c r="A251" s="4"/>
      <c r="B251" s="4"/>
      <c r="C251" s="4"/>
      <c r="D251" s="4"/>
      <c r="E251" s="4"/>
      <c r="F251" s="4"/>
      <c r="H251">
        <f t="shared" si="21"/>
        <v>0</v>
      </c>
      <c r="I251">
        <f t="shared" si="18"/>
        <v>0</v>
      </c>
      <c r="J251">
        <f t="shared" si="19"/>
        <v>0</v>
      </c>
      <c r="K251">
        <f t="shared" si="20"/>
        <v>0</v>
      </c>
      <c r="L251">
        <f t="shared" si="22"/>
        <v>0</v>
      </c>
      <c r="M251">
        <f t="shared" si="23"/>
        <v>0</v>
      </c>
    </row>
    <row r="252" spans="1:13" x14ac:dyDescent="0.25">
      <c r="A252" s="4"/>
      <c r="B252" s="4"/>
      <c r="C252" s="4"/>
      <c r="D252" s="4"/>
      <c r="E252" s="4"/>
      <c r="F252" s="4"/>
      <c r="H252">
        <f t="shared" si="21"/>
        <v>0</v>
      </c>
      <c r="I252">
        <f t="shared" si="18"/>
        <v>0</v>
      </c>
      <c r="J252">
        <f t="shared" si="19"/>
        <v>0</v>
      </c>
      <c r="K252">
        <f t="shared" si="20"/>
        <v>0</v>
      </c>
      <c r="L252">
        <f t="shared" si="22"/>
        <v>0</v>
      </c>
      <c r="M252">
        <f t="shared" si="23"/>
        <v>0</v>
      </c>
    </row>
    <row r="253" spans="1:13" x14ac:dyDescent="0.25">
      <c r="A253" s="4"/>
      <c r="B253" s="4"/>
      <c r="C253" s="4"/>
      <c r="D253" s="4"/>
      <c r="E253" s="4"/>
      <c r="F253" s="4"/>
      <c r="H253">
        <f t="shared" si="21"/>
        <v>0</v>
      </c>
      <c r="I253">
        <f t="shared" si="18"/>
        <v>0</v>
      </c>
      <c r="J253">
        <f t="shared" si="19"/>
        <v>0</v>
      </c>
      <c r="K253">
        <f t="shared" si="20"/>
        <v>0</v>
      </c>
      <c r="L253">
        <f t="shared" si="22"/>
        <v>0</v>
      </c>
      <c r="M253">
        <f t="shared" si="23"/>
        <v>0</v>
      </c>
    </row>
    <row r="254" spans="1:13" x14ac:dyDescent="0.25">
      <c r="A254" s="4"/>
      <c r="B254" s="4"/>
      <c r="C254" s="4"/>
      <c r="D254" s="4"/>
      <c r="E254" s="4"/>
      <c r="F254" s="4"/>
      <c r="H254">
        <f t="shared" si="21"/>
        <v>0</v>
      </c>
      <c r="I254">
        <f t="shared" si="18"/>
        <v>0</v>
      </c>
      <c r="J254">
        <f t="shared" si="19"/>
        <v>0</v>
      </c>
      <c r="K254">
        <f t="shared" si="20"/>
        <v>0</v>
      </c>
      <c r="L254">
        <f t="shared" si="22"/>
        <v>0</v>
      </c>
      <c r="M254">
        <f t="shared" si="23"/>
        <v>0</v>
      </c>
    </row>
    <row r="255" spans="1:13" x14ac:dyDescent="0.25">
      <c r="A255" s="4"/>
      <c r="B255" s="4"/>
      <c r="C255" s="4"/>
      <c r="D255" s="4"/>
      <c r="E255" s="4"/>
      <c r="F255" s="4"/>
      <c r="H255">
        <f t="shared" si="21"/>
        <v>0</v>
      </c>
      <c r="I255">
        <f t="shared" si="18"/>
        <v>0</v>
      </c>
      <c r="J255">
        <f t="shared" si="19"/>
        <v>0</v>
      </c>
      <c r="K255">
        <f t="shared" si="20"/>
        <v>0</v>
      </c>
      <c r="L255">
        <f t="shared" si="22"/>
        <v>0</v>
      </c>
      <c r="M255">
        <f t="shared" si="23"/>
        <v>0</v>
      </c>
    </row>
    <row r="256" spans="1:13" x14ac:dyDescent="0.25">
      <c r="A256" s="4"/>
      <c r="B256" s="4"/>
      <c r="C256" s="4"/>
      <c r="D256" s="4"/>
      <c r="E256" s="4"/>
      <c r="F256" s="4"/>
      <c r="H256">
        <f t="shared" si="21"/>
        <v>0</v>
      </c>
      <c r="I256">
        <f t="shared" si="18"/>
        <v>0</v>
      </c>
      <c r="J256">
        <f t="shared" si="19"/>
        <v>0</v>
      </c>
      <c r="K256">
        <f t="shared" si="20"/>
        <v>0</v>
      </c>
      <c r="L256">
        <f t="shared" si="22"/>
        <v>0</v>
      </c>
      <c r="M256">
        <f t="shared" si="23"/>
        <v>0</v>
      </c>
    </row>
    <row r="257" spans="1:13" x14ac:dyDescent="0.25">
      <c r="A257" s="4"/>
      <c r="B257" s="4"/>
      <c r="C257" s="4"/>
      <c r="D257" s="4"/>
      <c r="E257" s="4"/>
      <c r="F257" s="4"/>
      <c r="H257">
        <f t="shared" si="21"/>
        <v>0</v>
      </c>
      <c r="I257">
        <f t="shared" si="18"/>
        <v>0</v>
      </c>
      <c r="J257">
        <f t="shared" si="19"/>
        <v>0</v>
      </c>
      <c r="K257">
        <f t="shared" si="20"/>
        <v>0</v>
      </c>
      <c r="L257">
        <f t="shared" si="22"/>
        <v>0</v>
      </c>
      <c r="M257">
        <f t="shared" si="23"/>
        <v>0</v>
      </c>
    </row>
    <row r="258" spans="1:13" x14ac:dyDescent="0.25">
      <c r="A258" s="4"/>
      <c r="B258" s="4"/>
      <c r="C258" s="4"/>
      <c r="D258" s="4"/>
      <c r="E258" s="4"/>
      <c r="F258" s="4"/>
      <c r="H258">
        <f t="shared" si="21"/>
        <v>0</v>
      </c>
      <c r="I258">
        <f t="shared" ref="I258:I321" si="24">C258*$I$1</f>
        <v>0</v>
      </c>
      <c r="J258">
        <f t="shared" ref="J258:J321" si="25">D258*$J$1</f>
        <v>0</v>
      </c>
      <c r="K258">
        <f t="shared" ref="K258:K321" si="26">E258*$K$1</f>
        <v>0</v>
      </c>
      <c r="L258">
        <f t="shared" si="22"/>
        <v>0</v>
      </c>
      <c r="M258">
        <f t="shared" si="23"/>
        <v>0</v>
      </c>
    </row>
    <row r="259" spans="1:13" x14ac:dyDescent="0.25">
      <c r="A259" s="4"/>
      <c r="B259" s="4"/>
      <c r="C259" s="4"/>
      <c r="D259" s="4"/>
      <c r="E259" s="4"/>
      <c r="F259" s="4"/>
      <c r="H259">
        <f t="shared" ref="H259:H322" si="27">B259*$H$1</f>
        <v>0</v>
      </c>
      <c r="I259">
        <f t="shared" si="24"/>
        <v>0</v>
      </c>
      <c r="J259">
        <f t="shared" si="25"/>
        <v>0</v>
      </c>
      <c r="K259">
        <f t="shared" si="26"/>
        <v>0</v>
      </c>
      <c r="L259">
        <f t="shared" ref="L259:L322" si="28">F259*$L$1</f>
        <v>0</v>
      </c>
      <c r="M259">
        <f t="shared" ref="M259:M322" si="29">SUM(H259:L259)</f>
        <v>0</v>
      </c>
    </row>
    <row r="260" spans="1:13" x14ac:dyDescent="0.25">
      <c r="A260" s="4"/>
      <c r="B260" s="4"/>
      <c r="C260" s="4"/>
      <c r="D260" s="4"/>
      <c r="E260" s="4"/>
      <c r="F260" s="4"/>
      <c r="H260">
        <f t="shared" si="27"/>
        <v>0</v>
      </c>
      <c r="I260">
        <f t="shared" si="24"/>
        <v>0</v>
      </c>
      <c r="J260">
        <f t="shared" si="25"/>
        <v>0</v>
      </c>
      <c r="K260">
        <f t="shared" si="26"/>
        <v>0</v>
      </c>
      <c r="L260">
        <f t="shared" si="28"/>
        <v>0</v>
      </c>
      <c r="M260">
        <f t="shared" si="29"/>
        <v>0</v>
      </c>
    </row>
    <row r="261" spans="1:13" x14ac:dyDescent="0.25">
      <c r="A261" s="4"/>
      <c r="B261" s="4"/>
      <c r="C261" s="4"/>
      <c r="D261" s="4"/>
      <c r="E261" s="4"/>
      <c r="F261" s="4"/>
      <c r="H261">
        <f t="shared" si="27"/>
        <v>0</v>
      </c>
      <c r="I261">
        <f t="shared" si="24"/>
        <v>0</v>
      </c>
      <c r="J261">
        <f t="shared" si="25"/>
        <v>0</v>
      </c>
      <c r="K261">
        <f t="shared" si="26"/>
        <v>0</v>
      </c>
      <c r="L261">
        <f t="shared" si="28"/>
        <v>0</v>
      </c>
      <c r="M261">
        <f t="shared" si="29"/>
        <v>0</v>
      </c>
    </row>
    <row r="262" spans="1:13" x14ac:dyDescent="0.25">
      <c r="A262" s="4"/>
      <c r="B262" s="4"/>
      <c r="C262" s="4"/>
      <c r="D262" s="4"/>
      <c r="E262" s="4"/>
      <c r="F262" s="4"/>
      <c r="H262">
        <f t="shared" si="27"/>
        <v>0</v>
      </c>
      <c r="I262">
        <f t="shared" si="24"/>
        <v>0</v>
      </c>
      <c r="J262">
        <f t="shared" si="25"/>
        <v>0</v>
      </c>
      <c r="K262">
        <f t="shared" si="26"/>
        <v>0</v>
      </c>
      <c r="L262">
        <f t="shared" si="28"/>
        <v>0</v>
      </c>
      <c r="M262">
        <f t="shared" si="29"/>
        <v>0</v>
      </c>
    </row>
    <row r="263" spans="1:13" x14ac:dyDescent="0.25">
      <c r="A263" s="4"/>
      <c r="B263" s="4"/>
      <c r="C263" s="4"/>
      <c r="D263" s="4"/>
      <c r="E263" s="4"/>
      <c r="F263" s="4"/>
      <c r="H263">
        <f t="shared" si="27"/>
        <v>0</v>
      </c>
      <c r="I263">
        <f t="shared" si="24"/>
        <v>0</v>
      </c>
      <c r="J263">
        <f t="shared" si="25"/>
        <v>0</v>
      </c>
      <c r="K263">
        <f t="shared" si="26"/>
        <v>0</v>
      </c>
      <c r="L263">
        <f t="shared" si="28"/>
        <v>0</v>
      </c>
      <c r="M263">
        <f t="shared" si="29"/>
        <v>0</v>
      </c>
    </row>
    <row r="264" spans="1:13" x14ac:dyDescent="0.25">
      <c r="A264" s="4"/>
      <c r="B264" s="4"/>
      <c r="C264" s="4"/>
      <c r="D264" s="4"/>
      <c r="E264" s="4"/>
      <c r="F264" s="4"/>
      <c r="H264">
        <f t="shared" si="27"/>
        <v>0</v>
      </c>
      <c r="I264">
        <f t="shared" si="24"/>
        <v>0</v>
      </c>
      <c r="J264">
        <f t="shared" si="25"/>
        <v>0</v>
      </c>
      <c r="K264">
        <f t="shared" si="26"/>
        <v>0</v>
      </c>
      <c r="L264">
        <f t="shared" si="28"/>
        <v>0</v>
      </c>
      <c r="M264">
        <f t="shared" si="29"/>
        <v>0</v>
      </c>
    </row>
    <row r="265" spans="1:13" x14ac:dyDescent="0.25">
      <c r="A265" s="4"/>
      <c r="B265" s="4"/>
      <c r="C265" s="4"/>
      <c r="D265" s="4"/>
      <c r="E265" s="4"/>
      <c r="F265" s="4"/>
      <c r="H265">
        <f t="shared" si="27"/>
        <v>0</v>
      </c>
      <c r="I265">
        <f t="shared" si="24"/>
        <v>0</v>
      </c>
      <c r="J265">
        <f t="shared" si="25"/>
        <v>0</v>
      </c>
      <c r="K265">
        <f t="shared" si="26"/>
        <v>0</v>
      </c>
      <c r="L265">
        <f t="shared" si="28"/>
        <v>0</v>
      </c>
      <c r="M265">
        <f t="shared" si="29"/>
        <v>0</v>
      </c>
    </row>
    <row r="266" spans="1:13" x14ac:dyDescent="0.25">
      <c r="A266" s="4"/>
      <c r="B266" s="4"/>
      <c r="C266" s="4"/>
      <c r="D266" s="4"/>
      <c r="E266" s="4"/>
      <c r="F266" s="4"/>
      <c r="H266">
        <f t="shared" si="27"/>
        <v>0</v>
      </c>
      <c r="I266">
        <f t="shared" si="24"/>
        <v>0</v>
      </c>
      <c r="J266">
        <f t="shared" si="25"/>
        <v>0</v>
      </c>
      <c r="K266">
        <f t="shared" si="26"/>
        <v>0</v>
      </c>
      <c r="L266">
        <f t="shared" si="28"/>
        <v>0</v>
      </c>
      <c r="M266">
        <f t="shared" si="29"/>
        <v>0</v>
      </c>
    </row>
    <row r="267" spans="1:13" x14ac:dyDescent="0.25">
      <c r="A267" s="4"/>
      <c r="B267" s="4"/>
      <c r="C267" s="4"/>
      <c r="D267" s="4"/>
      <c r="E267" s="4"/>
      <c r="F267" s="4"/>
      <c r="H267">
        <f t="shared" si="27"/>
        <v>0</v>
      </c>
      <c r="I267">
        <f t="shared" si="24"/>
        <v>0</v>
      </c>
      <c r="J267">
        <f t="shared" si="25"/>
        <v>0</v>
      </c>
      <c r="K267">
        <f t="shared" si="26"/>
        <v>0</v>
      </c>
      <c r="L267">
        <f t="shared" si="28"/>
        <v>0</v>
      </c>
      <c r="M267">
        <f t="shared" si="29"/>
        <v>0</v>
      </c>
    </row>
    <row r="268" spans="1:13" x14ac:dyDescent="0.25">
      <c r="A268" s="4"/>
      <c r="B268" s="4"/>
      <c r="C268" s="4"/>
      <c r="D268" s="4"/>
      <c r="E268" s="4"/>
      <c r="F268" s="4"/>
      <c r="H268">
        <f t="shared" si="27"/>
        <v>0</v>
      </c>
      <c r="I268">
        <f t="shared" si="24"/>
        <v>0</v>
      </c>
      <c r="J268">
        <f t="shared" si="25"/>
        <v>0</v>
      </c>
      <c r="K268">
        <f t="shared" si="26"/>
        <v>0</v>
      </c>
      <c r="L268">
        <f t="shared" si="28"/>
        <v>0</v>
      </c>
      <c r="M268">
        <f t="shared" si="29"/>
        <v>0</v>
      </c>
    </row>
    <row r="269" spans="1:13" x14ac:dyDescent="0.25">
      <c r="A269" s="4"/>
      <c r="B269" s="4"/>
      <c r="C269" s="4"/>
      <c r="D269" s="4"/>
      <c r="E269" s="4"/>
      <c r="F269" s="4"/>
      <c r="H269">
        <f t="shared" si="27"/>
        <v>0</v>
      </c>
      <c r="I269">
        <f t="shared" si="24"/>
        <v>0</v>
      </c>
      <c r="J269">
        <f t="shared" si="25"/>
        <v>0</v>
      </c>
      <c r="K269">
        <f t="shared" si="26"/>
        <v>0</v>
      </c>
      <c r="L269">
        <f t="shared" si="28"/>
        <v>0</v>
      </c>
      <c r="M269">
        <f t="shared" si="29"/>
        <v>0</v>
      </c>
    </row>
    <row r="270" spans="1:13" x14ac:dyDescent="0.25">
      <c r="A270" s="4"/>
      <c r="B270" s="4"/>
      <c r="C270" s="4"/>
      <c r="D270" s="4"/>
      <c r="E270" s="4"/>
      <c r="F270" s="4"/>
      <c r="H270">
        <f t="shared" si="27"/>
        <v>0</v>
      </c>
      <c r="I270">
        <f t="shared" si="24"/>
        <v>0</v>
      </c>
      <c r="J270">
        <f t="shared" si="25"/>
        <v>0</v>
      </c>
      <c r="K270">
        <f t="shared" si="26"/>
        <v>0</v>
      </c>
      <c r="L270">
        <f t="shared" si="28"/>
        <v>0</v>
      </c>
      <c r="M270">
        <f t="shared" si="29"/>
        <v>0</v>
      </c>
    </row>
    <row r="271" spans="1:13" x14ac:dyDescent="0.25">
      <c r="A271" s="4"/>
      <c r="B271" s="4"/>
      <c r="C271" s="4"/>
      <c r="D271" s="4"/>
      <c r="E271" s="4"/>
      <c r="F271" s="4"/>
      <c r="H271">
        <f t="shared" si="27"/>
        <v>0</v>
      </c>
      <c r="I271">
        <f t="shared" si="24"/>
        <v>0</v>
      </c>
      <c r="J271">
        <f t="shared" si="25"/>
        <v>0</v>
      </c>
      <c r="K271">
        <f t="shared" si="26"/>
        <v>0</v>
      </c>
      <c r="L271">
        <f t="shared" si="28"/>
        <v>0</v>
      </c>
      <c r="M271">
        <f t="shared" si="29"/>
        <v>0</v>
      </c>
    </row>
    <row r="272" spans="1:13" x14ac:dyDescent="0.25">
      <c r="A272" s="4"/>
      <c r="B272" s="4"/>
      <c r="C272" s="4"/>
      <c r="D272" s="4"/>
      <c r="E272" s="4"/>
      <c r="F272" s="4"/>
      <c r="H272">
        <f t="shared" si="27"/>
        <v>0</v>
      </c>
      <c r="I272">
        <f t="shared" si="24"/>
        <v>0</v>
      </c>
      <c r="J272">
        <f t="shared" si="25"/>
        <v>0</v>
      </c>
      <c r="K272">
        <f t="shared" si="26"/>
        <v>0</v>
      </c>
      <c r="L272">
        <f t="shared" si="28"/>
        <v>0</v>
      </c>
      <c r="M272">
        <f t="shared" si="29"/>
        <v>0</v>
      </c>
    </row>
    <row r="273" spans="1:13" x14ac:dyDescent="0.25">
      <c r="A273" s="4"/>
      <c r="B273" s="4"/>
      <c r="C273" s="4"/>
      <c r="D273" s="4"/>
      <c r="E273" s="4"/>
      <c r="F273" s="4"/>
      <c r="H273">
        <f t="shared" si="27"/>
        <v>0</v>
      </c>
      <c r="I273">
        <f t="shared" si="24"/>
        <v>0</v>
      </c>
      <c r="J273">
        <f t="shared" si="25"/>
        <v>0</v>
      </c>
      <c r="K273">
        <f t="shared" si="26"/>
        <v>0</v>
      </c>
      <c r="L273">
        <f t="shared" si="28"/>
        <v>0</v>
      </c>
      <c r="M273">
        <f t="shared" si="29"/>
        <v>0</v>
      </c>
    </row>
    <row r="274" spans="1:13" x14ac:dyDescent="0.25">
      <c r="A274" s="4"/>
      <c r="B274" s="4"/>
      <c r="C274" s="4"/>
      <c r="D274" s="4"/>
      <c r="E274" s="4"/>
      <c r="F274" s="4"/>
      <c r="H274">
        <f t="shared" si="27"/>
        <v>0</v>
      </c>
      <c r="I274">
        <f t="shared" si="24"/>
        <v>0</v>
      </c>
      <c r="J274">
        <f t="shared" si="25"/>
        <v>0</v>
      </c>
      <c r="K274">
        <f t="shared" si="26"/>
        <v>0</v>
      </c>
      <c r="L274">
        <f t="shared" si="28"/>
        <v>0</v>
      </c>
      <c r="M274">
        <f t="shared" si="29"/>
        <v>0</v>
      </c>
    </row>
    <row r="275" spans="1:13" x14ac:dyDescent="0.25">
      <c r="A275" s="4"/>
      <c r="B275" s="4"/>
      <c r="C275" s="4"/>
      <c r="D275" s="4"/>
      <c r="E275" s="4"/>
      <c r="F275" s="4"/>
      <c r="H275">
        <f t="shared" si="27"/>
        <v>0</v>
      </c>
      <c r="I275">
        <f t="shared" si="24"/>
        <v>0</v>
      </c>
      <c r="J275">
        <f t="shared" si="25"/>
        <v>0</v>
      </c>
      <c r="K275">
        <f t="shared" si="26"/>
        <v>0</v>
      </c>
      <c r="L275">
        <f t="shared" si="28"/>
        <v>0</v>
      </c>
      <c r="M275">
        <f t="shared" si="29"/>
        <v>0</v>
      </c>
    </row>
    <row r="276" spans="1:13" x14ac:dyDescent="0.25">
      <c r="A276" s="4"/>
      <c r="B276" s="4"/>
      <c r="C276" s="4"/>
      <c r="D276" s="4"/>
      <c r="E276" s="4"/>
      <c r="F276" s="4"/>
      <c r="H276">
        <f t="shared" si="27"/>
        <v>0</v>
      </c>
      <c r="I276">
        <f t="shared" si="24"/>
        <v>0</v>
      </c>
      <c r="J276">
        <f t="shared" si="25"/>
        <v>0</v>
      </c>
      <c r="K276">
        <f t="shared" si="26"/>
        <v>0</v>
      </c>
      <c r="L276">
        <f t="shared" si="28"/>
        <v>0</v>
      </c>
      <c r="M276">
        <f t="shared" si="29"/>
        <v>0</v>
      </c>
    </row>
    <row r="277" spans="1:13" x14ac:dyDescent="0.25">
      <c r="A277" s="4"/>
      <c r="B277" s="4"/>
      <c r="C277" s="4"/>
      <c r="D277" s="4"/>
      <c r="E277" s="4"/>
      <c r="F277" s="4"/>
      <c r="H277">
        <f t="shared" si="27"/>
        <v>0</v>
      </c>
      <c r="I277">
        <f t="shared" si="24"/>
        <v>0</v>
      </c>
      <c r="J277">
        <f t="shared" si="25"/>
        <v>0</v>
      </c>
      <c r="K277">
        <f t="shared" si="26"/>
        <v>0</v>
      </c>
      <c r="L277">
        <f t="shared" si="28"/>
        <v>0</v>
      </c>
      <c r="M277">
        <f t="shared" si="29"/>
        <v>0</v>
      </c>
    </row>
    <row r="278" spans="1:13" x14ac:dyDescent="0.25">
      <c r="A278" s="4"/>
      <c r="B278" s="4"/>
      <c r="C278" s="4"/>
      <c r="D278" s="4"/>
      <c r="E278" s="4"/>
      <c r="F278" s="4"/>
      <c r="H278">
        <f t="shared" si="27"/>
        <v>0</v>
      </c>
      <c r="I278">
        <f t="shared" si="24"/>
        <v>0</v>
      </c>
      <c r="J278">
        <f t="shared" si="25"/>
        <v>0</v>
      </c>
      <c r="K278">
        <f t="shared" si="26"/>
        <v>0</v>
      </c>
      <c r="L278">
        <f t="shared" si="28"/>
        <v>0</v>
      </c>
      <c r="M278">
        <f t="shared" si="29"/>
        <v>0</v>
      </c>
    </row>
    <row r="279" spans="1:13" x14ac:dyDescent="0.25">
      <c r="A279" s="4"/>
      <c r="B279" s="4"/>
      <c r="C279" s="4"/>
      <c r="D279" s="4"/>
      <c r="E279" s="4"/>
      <c r="F279" s="4"/>
      <c r="H279">
        <f t="shared" si="27"/>
        <v>0</v>
      </c>
      <c r="I279">
        <f t="shared" si="24"/>
        <v>0</v>
      </c>
      <c r="J279">
        <f t="shared" si="25"/>
        <v>0</v>
      </c>
      <c r="K279">
        <f t="shared" si="26"/>
        <v>0</v>
      </c>
      <c r="L279">
        <f t="shared" si="28"/>
        <v>0</v>
      </c>
      <c r="M279">
        <f t="shared" si="29"/>
        <v>0</v>
      </c>
    </row>
    <row r="280" spans="1:13" x14ac:dyDescent="0.25">
      <c r="A280" s="4"/>
      <c r="B280" s="4"/>
      <c r="C280" s="4"/>
      <c r="D280" s="4"/>
      <c r="E280" s="4"/>
      <c r="F280" s="4"/>
      <c r="H280">
        <f t="shared" si="27"/>
        <v>0</v>
      </c>
      <c r="I280">
        <f t="shared" si="24"/>
        <v>0</v>
      </c>
      <c r="J280">
        <f t="shared" si="25"/>
        <v>0</v>
      </c>
      <c r="K280">
        <f t="shared" si="26"/>
        <v>0</v>
      </c>
      <c r="L280">
        <f t="shared" si="28"/>
        <v>0</v>
      </c>
      <c r="M280">
        <f t="shared" si="29"/>
        <v>0</v>
      </c>
    </row>
    <row r="281" spans="1:13" x14ac:dyDescent="0.25">
      <c r="A281" s="4"/>
      <c r="B281" s="4"/>
      <c r="C281" s="4"/>
      <c r="D281" s="4"/>
      <c r="E281" s="4"/>
      <c r="F281" s="4"/>
      <c r="H281">
        <f t="shared" si="27"/>
        <v>0</v>
      </c>
      <c r="I281">
        <f t="shared" si="24"/>
        <v>0</v>
      </c>
      <c r="J281">
        <f t="shared" si="25"/>
        <v>0</v>
      </c>
      <c r="K281">
        <f t="shared" si="26"/>
        <v>0</v>
      </c>
      <c r="L281">
        <f t="shared" si="28"/>
        <v>0</v>
      </c>
      <c r="M281">
        <f t="shared" si="29"/>
        <v>0</v>
      </c>
    </row>
    <row r="282" spans="1:13" x14ac:dyDescent="0.25">
      <c r="A282" s="4"/>
      <c r="B282" s="4"/>
      <c r="C282" s="4"/>
      <c r="D282" s="4"/>
      <c r="E282" s="4"/>
      <c r="F282" s="4"/>
      <c r="H282">
        <f t="shared" si="27"/>
        <v>0</v>
      </c>
      <c r="I282">
        <f t="shared" si="24"/>
        <v>0</v>
      </c>
      <c r="J282">
        <f t="shared" si="25"/>
        <v>0</v>
      </c>
      <c r="K282">
        <f t="shared" si="26"/>
        <v>0</v>
      </c>
      <c r="L282">
        <f t="shared" si="28"/>
        <v>0</v>
      </c>
      <c r="M282">
        <f t="shared" si="29"/>
        <v>0</v>
      </c>
    </row>
    <row r="283" spans="1:13" x14ac:dyDescent="0.25">
      <c r="A283" s="4"/>
      <c r="B283" s="4"/>
      <c r="C283" s="4"/>
      <c r="D283" s="4"/>
      <c r="E283" s="4"/>
      <c r="F283" s="4"/>
      <c r="H283">
        <f t="shared" si="27"/>
        <v>0</v>
      </c>
      <c r="I283">
        <f t="shared" si="24"/>
        <v>0</v>
      </c>
      <c r="J283">
        <f t="shared" si="25"/>
        <v>0</v>
      </c>
      <c r="K283">
        <f t="shared" si="26"/>
        <v>0</v>
      </c>
      <c r="L283">
        <f t="shared" si="28"/>
        <v>0</v>
      </c>
      <c r="M283">
        <f t="shared" si="29"/>
        <v>0</v>
      </c>
    </row>
    <row r="284" spans="1:13" x14ac:dyDescent="0.25">
      <c r="A284" s="4"/>
      <c r="B284" s="4"/>
      <c r="C284" s="4"/>
      <c r="D284" s="4"/>
      <c r="E284" s="4"/>
      <c r="F284" s="4"/>
      <c r="H284">
        <f t="shared" si="27"/>
        <v>0</v>
      </c>
      <c r="I284">
        <f t="shared" si="24"/>
        <v>0</v>
      </c>
      <c r="J284">
        <f t="shared" si="25"/>
        <v>0</v>
      </c>
      <c r="K284">
        <f t="shared" si="26"/>
        <v>0</v>
      </c>
      <c r="L284">
        <f t="shared" si="28"/>
        <v>0</v>
      </c>
      <c r="M284">
        <f t="shared" si="29"/>
        <v>0</v>
      </c>
    </row>
    <row r="285" spans="1:13" x14ac:dyDescent="0.25">
      <c r="A285" s="4"/>
      <c r="B285" s="4"/>
      <c r="C285" s="4"/>
      <c r="D285" s="4"/>
      <c r="E285" s="4"/>
      <c r="F285" s="4"/>
      <c r="H285">
        <f t="shared" si="27"/>
        <v>0</v>
      </c>
      <c r="I285">
        <f t="shared" si="24"/>
        <v>0</v>
      </c>
      <c r="J285">
        <f t="shared" si="25"/>
        <v>0</v>
      </c>
      <c r="K285">
        <f t="shared" si="26"/>
        <v>0</v>
      </c>
      <c r="L285">
        <f t="shared" si="28"/>
        <v>0</v>
      </c>
      <c r="M285">
        <f t="shared" si="29"/>
        <v>0</v>
      </c>
    </row>
    <row r="286" spans="1:13" x14ac:dyDescent="0.25">
      <c r="A286" s="4"/>
      <c r="B286" s="4"/>
      <c r="C286" s="4"/>
      <c r="D286" s="4"/>
      <c r="E286" s="4"/>
      <c r="F286" s="4"/>
      <c r="H286">
        <f t="shared" si="27"/>
        <v>0</v>
      </c>
      <c r="I286">
        <f t="shared" si="24"/>
        <v>0</v>
      </c>
      <c r="J286">
        <f t="shared" si="25"/>
        <v>0</v>
      </c>
      <c r="K286">
        <f t="shared" si="26"/>
        <v>0</v>
      </c>
      <c r="L286">
        <f t="shared" si="28"/>
        <v>0</v>
      </c>
      <c r="M286">
        <f t="shared" si="29"/>
        <v>0</v>
      </c>
    </row>
    <row r="287" spans="1:13" x14ac:dyDescent="0.25">
      <c r="A287" s="4"/>
      <c r="B287" s="4"/>
      <c r="C287" s="4"/>
      <c r="D287" s="4"/>
      <c r="E287" s="4"/>
      <c r="F287" s="4"/>
      <c r="H287">
        <f t="shared" si="27"/>
        <v>0</v>
      </c>
      <c r="I287">
        <f t="shared" si="24"/>
        <v>0</v>
      </c>
      <c r="J287">
        <f t="shared" si="25"/>
        <v>0</v>
      </c>
      <c r="K287">
        <f t="shared" si="26"/>
        <v>0</v>
      </c>
      <c r="L287">
        <f t="shared" si="28"/>
        <v>0</v>
      </c>
      <c r="M287">
        <f t="shared" si="29"/>
        <v>0</v>
      </c>
    </row>
    <row r="288" spans="1:13" x14ac:dyDescent="0.25">
      <c r="A288" s="4"/>
      <c r="B288" s="4"/>
      <c r="C288" s="4"/>
      <c r="D288" s="4"/>
      <c r="E288" s="4"/>
      <c r="F288" s="4"/>
      <c r="H288">
        <f t="shared" si="27"/>
        <v>0</v>
      </c>
      <c r="I288">
        <f t="shared" si="24"/>
        <v>0</v>
      </c>
      <c r="J288">
        <f t="shared" si="25"/>
        <v>0</v>
      </c>
      <c r="K288">
        <f t="shared" si="26"/>
        <v>0</v>
      </c>
      <c r="L288">
        <f t="shared" si="28"/>
        <v>0</v>
      </c>
      <c r="M288">
        <f t="shared" si="29"/>
        <v>0</v>
      </c>
    </row>
    <row r="289" spans="1:13" x14ac:dyDescent="0.25">
      <c r="A289" s="4"/>
      <c r="B289" s="4"/>
      <c r="C289" s="4"/>
      <c r="D289" s="4"/>
      <c r="E289" s="4"/>
      <c r="F289" s="4"/>
      <c r="H289">
        <f t="shared" si="27"/>
        <v>0</v>
      </c>
      <c r="I289">
        <f t="shared" si="24"/>
        <v>0</v>
      </c>
      <c r="J289">
        <f t="shared" si="25"/>
        <v>0</v>
      </c>
      <c r="K289">
        <f t="shared" si="26"/>
        <v>0</v>
      </c>
      <c r="L289">
        <f t="shared" si="28"/>
        <v>0</v>
      </c>
      <c r="M289">
        <f t="shared" si="29"/>
        <v>0</v>
      </c>
    </row>
    <row r="290" spans="1:13" x14ac:dyDescent="0.25">
      <c r="A290" s="4"/>
      <c r="B290" s="4"/>
      <c r="C290" s="4"/>
      <c r="D290" s="4"/>
      <c r="E290" s="4"/>
      <c r="F290" s="4"/>
      <c r="H290">
        <f t="shared" si="27"/>
        <v>0</v>
      </c>
      <c r="I290">
        <f t="shared" si="24"/>
        <v>0</v>
      </c>
      <c r="J290">
        <f t="shared" si="25"/>
        <v>0</v>
      </c>
      <c r="K290">
        <f t="shared" si="26"/>
        <v>0</v>
      </c>
      <c r="L290">
        <f t="shared" si="28"/>
        <v>0</v>
      </c>
      <c r="M290">
        <f t="shared" si="29"/>
        <v>0</v>
      </c>
    </row>
    <row r="291" spans="1:13" x14ac:dyDescent="0.25">
      <c r="A291" s="4"/>
      <c r="B291" s="4"/>
      <c r="C291" s="4"/>
      <c r="D291" s="4"/>
      <c r="E291" s="4"/>
      <c r="F291" s="4"/>
      <c r="H291">
        <f t="shared" si="27"/>
        <v>0</v>
      </c>
      <c r="I291">
        <f t="shared" si="24"/>
        <v>0</v>
      </c>
      <c r="J291">
        <f t="shared" si="25"/>
        <v>0</v>
      </c>
      <c r="K291">
        <f t="shared" si="26"/>
        <v>0</v>
      </c>
      <c r="L291">
        <f t="shared" si="28"/>
        <v>0</v>
      </c>
      <c r="M291">
        <f t="shared" si="29"/>
        <v>0</v>
      </c>
    </row>
    <row r="292" spans="1:13" x14ac:dyDescent="0.25">
      <c r="A292" s="4"/>
      <c r="B292" s="4"/>
      <c r="C292" s="4"/>
      <c r="D292" s="4"/>
      <c r="E292" s="4"/>
      <c r="F292" s="4"/>
      <c r="H292">
        <f t="shared" si="27"/>
        <v>0</v>
      </c>
      <c r="I292">
        <f t="shared" si="24"/>
        <v>0</v>
      </c>
      <c r="J292">
        <f t="shared" si="25"/>
        <v>0</v>
      </c>
      <c r="K292">
        <f t="shared" si="26"/>
        <v>0</v>
      </c>
      <c r="L292">
        <f t="shared" si="28"/>
        <v>0</v>
      </c>
      <c r="M292">
        <f t="shared" si="29"/>
        <v>0</v>
      </c>
    </row>
    <row r="293" spans="1:13" x14ac:dyDescent="0.25">
      <c r="A293" s="4"/>
      <c r="B293" s="4"/>
      <c r="C293" s="4"/>
      <c r="D293" s="4"/>
      <c r="E293" s="4"/>
      <c r="F293" s="4"/>
      <c r="H293">
        <f t="shared" si="27"/>
        <v>0</v>
      </c>
      <c r="I293">
        <f t="shared" si="24"/>
        <v>0</v>
      </c>
      <c r="J293">
        <f t="shared" si="25"/>
        <v>0</v>
      </c>
      <c r="K293">
        <f t="shared" si="26"/>
        <v>0</v>
      </c>
      <c r="L293">
        <f t="shared" si="28"/>
        <v>0</v>
      </c>
      <c r="M293">
        <f t="shared" si="29"/>
        <v>0</v>
      </c>
    </row>
    <row r="294" spans="1:13" x14ac:dyDescent="0.25">
      <c r="A294" s="4"/>
      <c r="B294" s="4"/>
      <c r="C294" s="4"/>
      <c r="D294" s="4"/>
      <c r="E294" s="4"/>
      <c r="F294" s="4"/>
      <c r="H294">
        <f t="shared" si="27"/>
        <v>0</v>
      </c>
      <c r="I294">
        <f t="shared" si="24"/>
        <v>0</v>
      </c>
      <c r="J294">
        <f t="shared" si="25"/>
        <v>0</v>
      </c>
      <c r="K294">
        <f t="shared" si="26"/>
        <v>0</v>
      </c>
      <c r="L294">
        <f t="shared" si="28"/>
        <v>0</v>
      </c>
      <c r="M294">
        <f t="shared" si="29"/>
        <v>0</v>
      </c>
    </row>
    <row r="295" spans="1:13" x14ac:dyDescent="0.25">
      <c r="A295" s="4"/>
      <c r="B295" s="4"/>
      <c r="C295" s="4"/>
      <c r="D295" s="4"/>
      <c r="E295" s="4"/>
      <c r="F295" s="4"/>
      <c r="H295">
        <f t="shared" si="27"/>
        <v>0</v>
      </c>
      <c r="I295">
        <f t="shared" si="24"/>
        <v>0</v>
      </c>
      <c r="J295">
        <f t="shared" si="25"/>
        <v>0</v>
      </c>
      <c r="K295">
        <f t="shared" si="26"/>
        <v>0</v>
      </c>
      <c r="L295">
        <f t="shared" si="28"/>
        <v>0</v>
      </c>
      <c r="M295">
        <f t="shared" si="29"/>
        <v>0</v>
      </c>
    </row>
    <row r="296" spans="1:13" x14ac:dyDescent="0.25">
      <c r="A296" s="4"/>
      <c r="B296" s="4"/>
      <c r="C296" s="4"/>
      <c r="D296" s="4"/>
      <c r="E296" s="4"/>
      <c r="F296" s="4"/>
      <c r="H296">
        <f t="shared" si="27"/>
        <v>0</v>
      </c>
      <c r="I296">
        <f t="shared" si="24"/>
        <v>0</v>
      </c>
      <c r="J296">
        <f t="shared" si="25"/>
        <v>0</v>
      </c>
      <c r="K296">
        <f t="shared" si="26"/>
        <v>0</v>
      </c>
      <c r="L296">
        <f t="shared" si="28"/>
        <v>0</v>
      </c>
      <c r="M296">
        <f t="shared" si="29"/>
        <v>0</v>
      </c>
    </row>
    <row r="297" spans="1:13" x14ac:dyDescent="0.25">
      <c r="A297" s="4"/>
      <c r="B297" s="4"/>
      <c r="C297" s="4"/>
      <c r="D297" s="4"/>
      <c r="E297" s="4"/>
      <c r="F297" s="4"/>
      <c r="H297">
        <f t="shared" si="27"/>
        <v>0</v>
      </c>
      <c r="I297">
        <f t="shared" si="24"/>
        <v>0</v>
      </c>
      <c r="J297">
        <f t="shared" si="25"/>
        <v>0</v>
      </c>
      <c r="K297">
        <f t="shared" si="26"/>
        <v>0</v>
      </c>
      <c r="L297">
        <f t="shared" si="28"/>
        <v>0</v>
      </c>
      <c r="M297">
        <f t="shared" si="29"/>
        <v>0</v>
      </c>
    </row>
    <row r="298" spans="1:13" x14ac:dyDescent="0.25">
      <c r="A298" s="4"/>
      <c r="B298" s="4"/>
      <c r="C298" s="4"/>
      <c r="D298" s="4"/>
      <c r="E298" s="4"/>
      <c r="F298" s="4"/>
      <c r="H298">
        <f t="shared" si="27"/>
        <v>0</v>
      </c>
      <c r="I298">
        <f t="shared" si="24"/>
        <v>0</v>
      </c>
      <c r="J298">
        <f t="shared" si="25"/>
        <v>0</v>
      </c>
      <c r="K298">
        <f t="shared" si="26"/>
        <v>0</v>
      </c>
      <c r="L298">
        <f t="shared" si="28"/>
        <v>0</v>
      </c>
      <c r="M298">
        <f t="shared" si="29"/>
        <v>0</v>
      </c>
    </row>
    <row r="299" spans="1:13" x14ac:dyDescent="0.25">
      <c r="A299" s="4"/>
      <c r="B299" s="4"/>
      <c r="C299" s="4"/>
      <c r="D299" s="4"/>
      <c r="E299" s="4"/>
      <c r="F299" s="4"/>
      <c r="H299">
        <f t="shared" si="27"/>
        <v>0</v>
      </c>
      <c r="I299">
        <f t="shared" si="24"/>
        <v>0</v>
      </c>
      <c r="J299">
        <f t="shared" si="25"/>
        <v>0</v>
      </c>
      <c r="K299">
        <f t="shared" si="26"/>
        <v>0</v>
      </c>
      <c r="L299">
        <f t="shared" si="28"/>
        <v>0</v>
      </c>
      <c r="M299">
        <f t="shared" si="29"/>
        <v>0</v>
      </c>
    </row>
    <row r="300" spans="1:13" x14ac:dyDescent="0.25">
      <c r="A300" s="4"/>
      <c r="B300" s="4"/>
      <c r="C300" s="4"/>
      <c r="D300" s="4"/>
      <c r="E300" s="4"/>
      <c r="F300" s="4"/>
      <c r="H300">
        <f t="shared" si="27"/>
        <v>0</v>
      </c>
      <c r="I300">
        <f t="shared" si="24"/>
        <v>0</v>
      </c>
      <c r="J300">
        <f t="shared" si="25"/>
        <v>0</v>
      </c>
      <c r="K300">
        <f t="shared" si="26"/>
        <v>0</v>
      </c>
      <c r="L300">
        <f t="shared" si="28"/>
        <v>0</v>
      </c>
      <c r="M300">
        <f t="shared" si="29"/>
        <v>0</v>
      </c>
    </row>
    <row r="301" spans="1:13" x14ac:dyDescent="0.25">
      <c r="A301" s="4"/>
      <c r="B301" s="4"/>
      <c r="C301" s="4"/>
      <c r="D301" s="4"/>
      <c r="E301" s="4"/>
      <c r="F301" s="4"/>
      <c r="H301">
        <f t="shared" si="27"/>
        <v>0</v>
      </c>
      <c r="I301">
        <f t="shared" si="24"/>
        <v>0</v>
      </c>
      <c r="J301">
        <f t="shared" si="25"/>
        <v>0</v>
      </c>
      <c r="K301">
        <f t="shared" si="26"/>
        <v>0</v>
      </c>
      <c r="L301">
        <f t="shared" si="28"/>
        <v>0</v>
      </c>
      <c r="M301">
        <f t="shared" si="29"/>
        <v>0</v>
      </c>
    </row>
    <row r="302" spans="1:13" x14ac:dyDescent="0.25">
      <c r="A302" s="4"/>
      <c r="B302" s="4"/>
      <c r="C302" s="4"/>
      <c r="D302" s="4"/>
      <c r="E302" s="4"/>
      <c r="F302" s="4"/>
      <c r="H302">
        <f t="shared" si="27"/>
        <v>0</v>
      </c>
      <c r="I302">
        <f t="shared" si="24"/>
        <v>0</v>
      </c>
      <c r="J302">
        <f t="shared" si="25"/>
        <v>0</v>
      </c>
      <c r="K302">
        <f t="shared" si="26"/>
        <v>0</v>
      </c>
      <c r="L302">
        <f t="shared" si="28"/>
        <v>0</v>
      </c>
      <c r="M302">
        <f t="shared" si="29"/>
        <v>0</v>
      </c>
    </row>
    <row r="303" spans="1:13" x14ac:dyDescent="0.25">
      <c r="A303" s="4"/>
      <c r="B303" s="4"/>
      <c r="C303" s="4"/>
      <c r="D303" s="4"/>
      <c r="E303" s="4"/>
      <c r="F303" s="4"/>
      <c r="H303">
        <f t="shared" si="27"/>
        <v>0</v>
      </c>
      <c r="I303">
        <f t="shared" si="24"/>
        <v>0</v>
      </c>
      <c r="J303">
        <f t="shared" si="25"/>
        <v>0</v>
      </c>
      <c r="K303">
        <f t="shared" si="26"/>
        <v>0</v>
      </c>
      <c r="L303">
        <f t="shared" si="28"/>
        <v>0</v>
      </c>
      <c r="M303">
        <f t="shared" si="29"/>
        <v>0</v>
      </c>
    </row>
    <row r="304" spans="1:13" x14ac:dyDescent="0.25">
      <c r="A304" s="4"/>
      <c r="B304" s="4"/>
      <c r="C304" s="4"/>
      <c r="D304" s="4"/>
      <c r="E304" s="4"/>
      <c r="F304" s="4"/>
      <c r="H304">
        <f t="shared" si="27"/>
        <v>0</v>
      </c>
      <c r="I304">
        <f t="shared" si="24"/>
        <v>0</v>
      </c>
      <c r="J304">
        <f t="shared" si="25"/>
        <v>0</v>
      </c>
      <c r="K304">
        <f t="shared" si="26"/>
        <v>0</v>
      </c>
      <c r="L304">
        <f t="shared" si="28"/>
        <v>0</v>
      </c>
      <c r="M304">
        <f t="shared" si="29"/>
        <v>0</v>
      </c>
    </row>
    <row r="305" spans="1:13" x14ac:dyDescent="0.25">
      <c r="A305" s="4"/>
      <c r="B305" s="4"/>
      <c r="C305" s="4"/>
      <c r="D305" s="4"/>
      <c r="E305" s="4"/>
      <c r="F305" s="4"/>
      <c r="H305">
        <f t="shared" si="27"/>
        <v>0</v>
      </c>
      <c r="I305">
        <f t="shared" si="24"/>
        <v>0</v>
      </c>
      <c r="J305">
        <f t="shared" si="25"/>
        <v>0</v>
      </c>
      <c r="K305">
        <f t="shared" si="26"/>
        <v>0</v>
      </c>
      <c r="L305">
        <f t="shared" si="28"/>
        <v>0</v>
      </c>
      <c r="M305">
        <f t="shared" si="29"/>
        <v>0</v>
      </c>
    </row>
    <row r="306" spans="1:13" x14ac:dyDescent="0.25">
      <c r="A306" s="4"/>
      <c r="B306" s="4"/>
      <c r="C306" s="4"/>
      <c r="D306" s="4"/>
      <c r="E306" s="4"/>
      <c r="F306" s="4"/>
      <c r="H306">
        <f t="shared" si="27"/>
        <v>0</v>
      </c>
      <c r="I306">
        <f t="shared" si="24"/>
        <v>0</v>
      </c>
      <c r="J306">
        <f t="shared" si="25"/>
        <v>0</v>
      </c>
      <c r="K306">
        <f t="shared" si="26"/>
        <v>0</v>
      </c>
      <c r="L306">
        <f t="shared" si="28"/>
        <v>0</v>
      </c>
      <c r="M306">
        <f t="shared" si="29"/>
        <v>0</v>
      </c>
    </row>
    <row r="307" spans="1:13" x14ac:dyDescent="0.25">
      <c r="A307" s="4"/>
      <c r="B307" s="4"/>
      <c r="C307" s="4"/>
      <c r="D307" s="4"/>
      <c r="E307" s="4"/>
      <c r="F307" s="4"/>
      <c r="H307">
        <f t="shared" si="27"/>
        <v>0</v>
      </c>
      <c r="I307">
        <f t="shared" si="24"/>
        <v>0</v>
      </c>
      <c r="J307">
        <f t="shared" si="25"/>
        <v>0</v>
      </c>
      <c r="K307">
        <f t="shared" si="26"/>
        <v>0</v>
      </c>
      <c r="L307">
        <f t="shared" si="28"/>
        <v>0</v>
      </c>
      <c r="M307">
        <f t="shared" si="29"/>
        <v>0</v>
      </c>
    </row>
    <row r="308" spans="1:13" x14ac:dyDescent="0.25">
      <c r="A308" s="4"/>
      <c r="B308" s="4"/>
      <c r="C308" s="4"/>
      <c r="D308" s="4"/>
      <c r="E308" s="4"/>
      <c r="F308" s="4"/>
      <c r="H308">
        <f t="shared" si="27"/>
        <v>0</v>
      </c>
      <c r="I308">
        <f t="shared" si="24"/>
        <v>0</v>
      </c>
      <c r="J308">
        <f t="shared" si="25"/>
        <v>0</v>
      </c>
      <c r="K308">
        <f t="shared" si="26"/>
        <v>0</v>
      </c>
      <c r="L308">
        <f t="shared" si="28"/>
        <v>0</v>
      </c>
      <c r="M308">
        <f t="shared" si="29"/>
        <v>0</v>
      </c>
    </row>
    <row r="309" spans="1:13" x14ac:dyDescent="0.25">
      <c r="A309" s="4"/>
      <c r="B309" s="4"/>
      <c r="C309" s="4"/>
      <c r="D309" s="4"/>
      <c r="E309" s="4"/>
      <c r="F309" s="4"/>
      <c r="H309">
        <f t="shared" si="27"/>
        <v>0</v>
      </c>
      <c r="I309">
        <f t="shared" si="24"/>
        <v>0</v>
      </c>
      <c r="J309">
        <f t="shared" si="25"/>
        <v>0</v>
      </c>
      <c r="K309">
        <f t="shared" si="26"/>
        <v>0</v>
      </c>
      <c r="L309">
        <f t="shared" si="28"/>
        <v>0</v>
      </c>
      <c r="M309">
        <f t="shared" si="29"/>
        <v>0</v>
      </c>
    </row>
    <row r="310" spans="1:13" x14ac:dyDescent="0.25">
      <c r="A310" s="4"/>
      <c r="B310" s="4"/>
      <c r="C310" s="4"/>
      <c r="D310" s="4"/>
      <c r="E310" s="4"/>
      <c r="F310" s="4"/>
      <c r="H310">
        <f t="shared" si="27"/>
        <v>0</v>
      </c>
      <c r="I310">
        <f t="shared" si="24"/>
        <v>0</v>
      </c>
      <c r="J310">
        <f t="shared" si="25"/>
        <v>0</v>
      </c>
      <c r="K310">
        <f t="shared" si="26"/>
        <v>0</v>
      </c>
      <c r="L310">
        <f t="shared" si="28"/>
        <v>0</v>
      </c>
      <c r="M310">
        <f t="shared" si="29"/>
        <v>0</v>
      </c>
    </row>
    <row r="311" spans="1:13" x14ac:dyDescent="0.25">
      <c r="A311" s="4"/>
      <c r="B311" s="4"/>
      <c r="C311" s="4"/>
      <c r="D311" s="4"/>
      <c r="E311" s="4"/>
      <c r="F311" s="4"/>
      <c r="H311">
        <f t="shared" si="27"/>
        <v>0</v>
      </c>
      <c r="I311">
        <f t="shared" si="24"/>
        <v>0</v>
      </c>
      <c r="J311">
        <f t="shared" si="25"/>
        <v>0</v>
      </c>
      <c r="K311">
        <f t="shared" si="26"/>
        <v>0</v>
      </c>
      <c r="L311">
        <f t="shared" si="28"/>
        <v>0</v>
      </c>
      <c r="M311">
        <f t="shared" si="29"/>
        <v>0</v>
      </c>
    </row>
    <row r="312" spans="1:13" x14ac:dyDescent="0.25">
      <c r="A312" s="4"/>
      <c r="B312" s="4"/>
      <c r="C312" s="4"/>
      <c r="D312" s="4"/>
      <c r="E312" s="4"/>
      <c r="F312" s="4"/>
      <c r="H312">
        <f t="shared" si="27"/>
        <v>0</v>
      </c>
      <c r="I312">
        <f t="shared" si="24"/>
        <v>0</v>
      </c>
      <c r="J312">
        <f t="shared" si="25"/>
        <v>0</v>
      </c>
      <c r="K312">
        <f t="shared" si="26"/>
        <v>0</v>
      </c>
      <c r="L312">
        <f t="shared" si="28"/>
        <v>0</v>
      </c>
      <c r="M312">
        <f t="shared" si="29"/>
        <v>0</v>
      </c>
    </row>
    <row r="313" spans="1:13" x14ac:dyDescent="0.25">
      <c r="A313" s="4"/>
      <c r="B313" s="4"/>
      <c r="C313" s="4"/>
      <c r="D313" s="4"/>
      <c r="E313" s="4"/>
      <c r="F313" s="4"/>
      <c r="H313">
        <f t="shared" si="27"/>
        <v>0</v>
      </c>
      <c r="I313">
        <f t="shared" si="24"/>
        <v>0</v>
      </c>
      <c r="J313">
        <f t="shared" si="25"/>
        <v>0</v>
      </c>
      <c r="K313">
        <f t="shared" si="26"/>
        <v>0</v>
      </c>
      <c r="L313">
        <f t="shared" si="28"/>
        <v>0</v>
      </c>
      <c r="M313">
        <f t="shared" si="29"/>
        <v>0</v>
      </c>
    </row>
    <row r="314" spans="1:13" x14ac:dyDescent="0.25">
      <c r="A314" s="4"/>
      <c r="B314" s="4"/>
      <c r="C314" s="4"/>
      <c r="D314" s="4"/>
      <c r="E314" s="4"/>
      <c r="F314" s="4"/>
      <c r="H314">
        <f t="shared" si="27"/>
        <v>0</v>
      </c>
      <c r="I314">
        <f t="shared" si="24"/>
        <v>0</v>
      </c>
      <c r="J314">
        <f t="shared" si="25"/>
        <v>0</v>
      </c>
      <c r="K314">
        <f t="shared" si="26"/>
        <v>0</v>
      </c>
      <c r="L314">
        <f t="shared" si="28"/>
        <v>0</v>
      </c>
      <c r="M314">
        <f t="shared" si="29"/>
        <v>0</v>
      </c>
    </row>
    <row r="315" spans="1:13" x14ac:dyDescent="0.25">
      <c r="A315" s="4"/>
      <c r="B315" s="4"/>
      <c r="C315" s="4"/>
      <c r="D315" s="4"/>
      <c r="E315" s="4"/>
      <c r="F315" s="4"/>
      <c r="H315">
        <f t="shared" si="27"/>
        <v>0</v>
      </c>
      <c r="I315">
        <f t="shared" si="24"/>
        <v>0</v>
      </c>
      <c r="J315">
        <f t="shared" si="25"/>
        <v>0</v>
      </c>
      <c r="K315">
        <f t="shared" si="26"/>
        <v>0</v>
      </c>
      <c r="L315">
        <f t="shared" si="28"/>
        <v>0</v>
      </c>
      <c r="M315">
        <f t="shared" si="29"/>
        <v>0</v>
      </c>
    </row>
    <row r="316" spans="1:13" x14ac:dyDescent="0.25">
      <c r="A316" s="4"/>
      <c r="B316" s="4"/>
      <c r="C316" s="4"/>
      <c r="D316" s="4"/>
      <c r="E316" s="4"/>
      <c r="F316" s="4"/>
      <c r="H316">
        <f t="shared" si="27"/>
        <v>0</v>
      </c>
      <c r="I316">
        <f t="shared" si="24"/>
        <v>0</v>
      </c>
      <c r="J316">
        <f t="shared" si="25"/>
        <v>0</v>
      </c>
      <c r="K316">
        <f t="shared" si="26"/>
        <v>0</v>
      </c>
      <c r="L316">
        <f t="shared" si="28"/>
        <v>0</v>
      </c>
      <c r="M316">
        <f t="shared" si="29"/>
        <v>0</v>
      </c>
    </row>
    <row r="317" spans="1:13" x14ac:dyDescent="0.25">
      <c r="A317" s="4"/>
      <c r="B317" s="4"/>
      <c r="C317" s="4"/>
      <c r="D317" s="4"/>
      <c r="E317" s="4"/>
      <c r="F317" s="4"/>
      <c r="H317">
        <f t="shared" si="27"/>
        <v>0</v>
      </c>
      <c r="I317">
        <f t="shared" si="24"/>
        <v>0</v>
      </c>
      <c r="J317">
        <f t="shared" si="25"/>
        <v>0</v>
      </c>
      <c r="K317">
        <f t="shared" si="26"/>
        <v>0</v>
      </c>
      <c r="L317">
        <f t="shared" si="28"/>
        <v>0</v>
      </c>
      <c r="M317">
        <f t="shared" si="29"/>
        <v>0</v>
      </c>
    </row>
    <row r="318" spans="1:13" x14ac:dyDescent="0.25">
      <c r="A318" s="4"/>
      <c r="B318" s="4"/>
      <c r="C318" s="4"/>
      <c r="D318" s="4"/>
      <c r="E318" s="4"/>
      <c r="F318" s="4"/>
      <c r="H318">
        <f t="shared" si="27"/>
        <v>0</v>
      </c>
      <c r="I318">
        <f t="shared" si="24"/>
        <v>0</v>
      </c>
      <c r="J318">
        <f t="shared" si="25"/>
        <v>0</v>
      </c>
      <c r="K318">
        <f t="shared" si="26"/>
        <v>0</v>
      </c>
      <c r="L318">
        <f t="shared" si="28"/>
        <v>0</v>
      </c>
      <c r="M318">
        <f t="shared" si="29"/>
        <v>0</v>
      </c>
    </row>
    <row r="319" spans="1:13" x14ac:dyDescent="0.25">
      <c r="A319" s="4"/>
      <c r="B319" s="4"/>
      <c r="C319" s="4"/>
      <c r="D319" s="4"/>
      <c r="E319" s="4"/>
      <c r="F319" s="4"/>
      <c r="H319">
        <f t="shared" si="27"/>
        <v>0</v>
      </c>
      <c r="I319">
        <f t="shared" si="24"/>
        <v>0</v>
      </c>
      <c r="J319">
        <f t="shared" si="25"/>
        <v>0</v>
      </c>
      <c r="K319">
        <f t="shared" si="26"/>
        <v>0</v>
      </c>
      <c r="L319">
        <f t="shared" si="28"/>
        <v>0</v>
      </c>
      <c r="M319">
        <f t="shared" si="29"/>
        <v>0</v>
      </c>
    </row>
    <row r="320" spans="1:13" x14ac:dyDescent="0.25">
      <c r="A320" s="4"/>
      <c r="B320" s="4"/>
      <c r="C320" s="4"/>
      <c r="D320" s="4"/>
      <c r="E320" s="4"/>
      <c r="F320" s="4"/>
      <c r="H320">
        <f t="shared" si="27"/>
        <v>0</v>
      </c>
      <c r="I320">
        <f t="shared" si="24"/>
        <v>0</v>
      </c>
      <c r="J320">
        <f t="shared" si="25"/>
        <v>0</v>
      </c>
      <c r="K320">
        <f t="shared" si="26"/>
        <v>0</v>
      </c>
      <c r="L320">
        <f t="shared" si="28"/>
        <v>0</v>
      </c>
      <c r="M320">
        <f t="shared" si="29"/>
        <v>0</v>
      </c>
    </row>
    <row r="321" spans="1:13" x14ac:dyDescent="0.25">
      <c r="A321" s="4"/>
      <c r="B321" s="4"/>
      <c r="C321" s="4"/>
      <c r="D321" s="4"/>
      <c r="E321" s="4"/>
      <c r="F321" s="4"/>
      <c r="H321">
        <f t="shared" si="27"/>
        <v>0</v>
      </c>
      <c r="I321">
        <f t="shared" si="24"/>
        <v>0</v>
      </c>
      <c r="J321">
        <f t="shared" si="25"/>
        <v>0</v>
      </c>
      <c r="K321">
        <f t="shared" si="26"/>
        <v>0</v>
      </c>
      <c r="L321">
        <f t="shared" si="28"/>
        <v>0</v>
      </c>
      <c r="M321">
        <f t="shared" si="29"/>
        <v>0</v>
      </c>
    </row>
    <row r="322" spans="1:13" x14ac:dyDescent="0.25">
      <c r="A322" s="4"/>
      <c r="B322" s="4"/>
      <c r="C322" s="4"/>
      <c r="D322" s="4"/>
      <c r="E322" s="4"/>
      <c r="F322" s="4"/>
      <c r="H322">
        <f t="shared" si="27"/>
        <v>0</v>
      </c>
      <c r="I322">
        <f t="shared" ref="I322:I385" si="30">C322*$I$1</f>
        <v>0</v>
      </c>
      <c r="J322">
        <f t="shared" ref="J322:J385" si="31">D322*$J$1</f>
        <v>0</v>
      </c>
      <c r="K322">
        <f t="shared" ref="K322:K385" si="32">E322*$K$1</f>
        <v>0</v>
      </c>
      <c r="L322">
        <f t="shared" si="28"/>
        <v>0</v>
      </c>
      <c r="M322">
        <f t="shared" si="29"/>
        <v>0</v>
      </c>
    </row>
    <row r="323" spans="1:13" x14ac:dyDescent="0.25">
      <c r="A323" s="4"/>
      <c r="B323" s="4"/>
      <c r="C323" s="4"/>
      <c r="D323" s="4"/>
      <c r="E323" s="4"/>
      <c r="F323" s="4"/>
      <c r="H323">
        <f t="shared" ref="H323:H386" si="33">B323*$H$1</f>
        <v>0</v>
      </c>
      <c r="I323">
        <f t="shared" si="30"/>
        <v>0</v>
      </c>
      <c r="J323">
        <f t="shared" si="31"/>
        <v>0</v>
      </c>
      <c r="K323">
        <f t="shared" si="32"/>
        <v>0</v>
      </c>
      <c r="L323">
        <f t="shared" ref="L323:L386" si="34">F323*$L$1</f>
        <v>0</v>
      </c>
      <c r="M323">
        <f t="shared" ref="M323:M386" si="35">SUM(H323:L323)</f>
        <v>0</v>
      </c>
    </row>
    <row r="324" spans="1:13" x14ac:dyDescent="0.25">
      <c r="A324" s="4"/>
      <c r="B324" s="4"/>
      <c r="C324" s="4"/>
      <c r="D324" s="4"/>
      <c r="E324" s="4"/>
      <c r="F324" s="4"/>
      <c r="H324">
        <f t="shared" si="33"/>
        <v>0</v>
      </c>
      <c r="I324">
        <f t="shared" si="30"/>
        <v>0</v>
      </c>
      <c r="J324">
        <f t="shared" si="31"/>
        <v>0</v>
      </c>
      <c r="K324">
        <f t="shared" si="32"/>
        <v>0</v>
      </c>
      <c r="L324">
        <f t="shared" si="34"/>
        <v>0</v>
      </c>
      <c r="M324">
        <f t="shared" si="35"/>
        <v>0</v>
      </c>
    </row>
    <row r="325" spans="1:13" x14ac:dyDescent="0.25">
      <c r="A325" s="4"/>
      <c r="B325" s="4"/>
      <c r="C325" s="4"/>
      <c r="D325" s="4"/>
      <c r="E325" s="4"/>
      <c r="F325" s="4"/>
      <c r="H325">
        <f t="shared" si="33"/>
        <v>0</v>
      </c>
      <c r="I325">
        <f t="shared" si="30"/>
        <v>0</v>
      </c>
      <c r="J325">
        <f t="shared" si="31"/>
        <v>0</v>
      </c>
      <c r="K325">
        <f t="shared" si="32"/>
        <v>0</v>
      </c>
      <c r="L325">
        <f t="shared" si="34"/>
        <v>0</v>
      </c>
      <c r="M325">
        <f t="shared" si="35"/>
        <v>0</v>
      </c>
    </row>
    <row r="326" spans="1:13" x14ac:dyDescent="0.25">
      <c r="A326" s="4"/>
      <c r="B326" s="4"/>
      <c r="C326" s="4"/>
      <c r="D326" s="4"/>
      <c r="E326" s="4"/>
      <c r="F326" s="4"/>
      <c r="H326">
        <f t="shared" si="33"/>
        <v>0</v>
      </c>
      <c r="I326">
        <f t="shared" si="30"/>
        <v>0</v>
      </c>
      <c r="J326">
        <f t="shared" si="31"/>
        <v>0</v>
      </c>
      <c r="K326">
        <f t="shared" si="32"/>
        <v>0</v>
      </c>
      <c r="L326">
        <f t="shared" si="34"/>
        <v>0</v>
      </c>
      <c r="M326">
        <f t="shared" si="35"/>
        <v>0</v>
      </c>
    </row>
    <row r="327" spans="1:13" x14ac:dyDescent="0.25">
      <c r="A327" s="4"/>
      <c r="B327" s="4"/>
      <c r="C327" s="4"/>
      <c r="D327" s="4"/>
      <c r="E327" s="4"/>
      <c r="F327" s="4"/>
      <c r="H327">
        <f t="shared" si="33"/>
        <v>0</v>
      </c>
      <c r="I327">
        <f t="shared" si="30"/>
        <v>0</v>
      </c>
      <c r="J327">
        <f t="shared" si="31"/>
        <v>0</v>
      </c>
      <c r="K327">
        <f t="shared" si="32"/>
        <v>0</v>
      </c>
      <c r="L327">
        <f t="shared" si="34"/>
        <v>0</v>
      </c>
      <c r="M327">
        <f t="shared" si="35"/>
        <v>0</v>
      </c>
    </row>
    <row r="328" spans="1:13" x14ac:dyDescent="0.25">
      <c r="A328" s="4"/>
      <c r="B328" s="4"/>
      <c r="C328" s="4"/>
      <c r="D328" s="4"/>
      <c r="E328" s="4"/>
      <c r="F328" s="4"/>
      <c r="H328">
        <f t="shared" si="33"/>
        <v>0</v>
      </c>
      <c r="I328">
        <f t="shared" si="30"/>
        <v>0</v>
      </c>
      <c r="J328">
        <f t="shared" si="31"/>
        <v>0</v>
      </c>
      <c r="K328">
        <f t="shared" si="32"/>
        <v>0</v>
      </c>
      <c r="L328">
        <f t="shared" si="34"/>
        <v>0</v>
      </c>
      <c r="M328">
        <f t="shared" si="35"/>
        <v>0</v>
      </c>
    </row>
    <row r="329" spans="1:13" x14ac:dyDescent="0.25">
      <c r="A329" s="4"/>
      <c r="B329" s="4"/>
      <c r="C329" s="4"/>
      <c r="D329" s="4"/>
      <c r="E329" s="4"/>
      <c r="F329" s="4"/>
      <c r="H329">
        <f t="shared" si="33"/>
        <v>0</v>
      </c>
      <c r="I329">
        <f t="shared" si="30"/>
        <v>0</v>
      </c>
      <c r="J329">
        <f t="shared" si="31"/>
        <v>0</v>
      </c>
      <c r="K329">
        <f t="shared" si="32"/>
        <v>0</v>
      </c>
      <c r="L329">
        <f t="shared" si="34"/>
        <v>0</v>
      </c>
      <c r="M329">
        <f t="shared" si="35"/>
        <v>0</v>
      </c>
    </row>
    <row r="330" spans="1:13" x14ac:dyDescent="0.25">
      <c r="A330" s="4"/>
      <c r="B330" s="4"/>
      <c r="C330" s="4"/>
      <c r="D330" s="4"/>
      <c r="E330" s="4"/>
      <c r="F330" s="4"/>
      <c r="H330">
        <f t="shared" si="33"/>
        <v>0</v>
      </c>
      <c r="I330">
        <f t="shared" si="30"/>
        <v>0</v>
      </c>
      <c r="J330">
        <f t="shared" si="31"/>
        <v>0</v>
      </c>
      <c r="K330">
        <f t="shared" si="32"/>
        <v>0</v>
      </c>
      <c r="L330">
        <f t="shared" si="34"/>
        <v>0</v>
      </c>
      <c r="M330">
        <f t="shared" si="35"/>
        <v>0</v>
      </c>
    </row>
    <row r="331" spans="1:13" x14ac:dyDescent="0.25">
      <c r="A331" s="4"/>
      <c r="B331" s="4"/>
      <c r="C331" s="4"/>
      <c r="D331" s="4"/>
      <c r="E331" s="4"/>
      <c r="F331" s="4"/>
      <c r="H331">
        <f t="shared" si="33"/>
        <v>0</v>
      </c>
      <c r="I331">
        <f t="shared" si="30"/>
        <v>0</v>
      </c>
      <c r="J331">
        <f t="shared" si="31"/>
        <v>0</v>
      </c>
      <c r="K331">
        <f t="shared" si="32"/>
        <v>0</v>
      </c>
      <c r="L331">
        <f t="shared" si="34"/>
        <v>0</v>
      </c>
      <c r="M331">
        <f t="shared" si="35"/>
        <v>0</v>
      </c>
    </row>
    <row r="332" spans="1:13" x14ac:dyDescent="0.25">
      <c r="A332" s="4"/>
      <c r="B332" s="4"/>
      <c r="C332" s="4"/>
      <c r="D332" s="4"/>
      <c r="E332" s="4"/>
      <c r="F332" s="4"/>
      <c r="H332">
        <f t="shared" si="33"/>
        <v>0</v>
      </c>
      <c r="I332">
        <f t="shared" si="30"/>
        <v>0</v>
      </c>
      <c r="J332">
        <f t="shared" si="31"/>
        <v>0</v>
      </c>
      <c r="K332">
        <f t="shared" si="32"/>
        <v>0</v>
      </c>
      <c r="L332">
        <f t="shared" si="34"/>
        <v>0</v>
      </c>
      <c r="M332">
        <f t="shared" si="35"/>
        <v>0</v>
      </c>
    </row>
    <row r="333" spans="1:13" x14ac:dyDescent="0.25">
      <c r="A333" s="4"/>
      <c r="B333" s="4"/>
      <c r="C333" s="4"/>
      <c r="D333" s="4"/>
      <c r="E333" s="4"/>
      <c r="F333" s="4"/>
      <c r="H333">
        <f t="shared" si="33"/>
        <v>0</v>
      </c>
      <c r="I333">
        <f t="shared" si="30"/>
        <v>0</v>
      </c>
      <c r="J333">
        <f t="shared" si="31"/>
        <v>0</v>
      </c>
      <c r="K333">
        <f t="shared" si="32"/>
        <v>0</v>
      </c>
      <c r="L333">
        <f t="shared" si="34"/>
        <v>0</v>
      </c>
      <c r="M333">
        <f t="shared" si="35"/>
        <v>0</v>
      </c>
    </row>
    <row r="334" spans="1:13" x14ac:dyDescent="0.25">
      <c r="A334" s="4"/>
      <c r="B334" s="4"/>
      <c r="C334" s="4"/>
      <c r="D334" s="4"/>
      <c r="E334" s="4"/>
      <c r="F334" s="4"/>
      <c r="H334">
        <f t="shared" si="33"/>
        <v>0</v>
      </c>
      <c r="I334">
        <f t="shared" si="30"/>
        <v>0</v>
      </c>
      <c r="J334">
        <f t="shared" si="31"/>
        <v>0</v>
      </c>
      <c r="K334">
        <f t="shared" si="32"/>
        <v>0</v>
      </c>
      <c r="L334">
        <f t="shared" si="34"/>
        <v>0</v>
      </c>
      <c r="M334">
        <f t="shared" si="35"/>
        <v>0</v>
      </c>
    </row>
    <row r="335" spans="1:13" x14ac:dyDescent="0.25">
      <c r="A335" s="4"/>
      <c r="B335" s="4"/>
      <c r="C335" s="4"/>
      <c r="D335" s="4"/>
      <c r="E335" s="4"/>
      <c r="F335" s="4"/>
      <c r="H335">
        <f t="shared" si="33"/>
        <v>0</v>
      </c>
      <c r="I335">
        <f t="shared" si="30"/>
        <v>0</v>
      </c>
      <c r="J335">
        <f t="shared" si="31"/>
        <v>0</v>
      </c>
      <c r="K335">
        <f t="shared" si="32"/>
        <v>0</v>
      </c>
      <c r="L335">
        <f t="shared" si="34"/>
        <v>0</v>
      </c>
      <c r="M335">
        <f t="shared" si="35"/>
        <v>0</v>
      </c>
    </row>
    <row r="336" spans="1:13" x14ac:dyDescent="0.25">
      <c r="A336" s="4"/>
      <c r="B336" s="4"/>
      <c r="C336" s="4"/>
      <c r="D336" s="4"/>
      <c r="E336" s="4"/>
      <c r="F336" s="4"/>
      <c r="H336">
        <f t="shared" si="33"/>
        <v>0</v>
      </c>
      <c r="I336">
        <f t="shared" si="30"/>
        <v>0</v>
      </c>
      <c r="J336">
        <f t="shared" si="31"/>
        <v>0</v>
      </c>
      <c r="K336">
        <f t="shared" si="32"/>
        <v>0</v>
      </c>
      <c r="L336">
        <f t="shared" si="34"/>
        <v>0</v>
      </c>
      <c r="M336">
        <f t="shared" si="35"/>
        <v>0</v>
      </c>
    </row>
    <row r="337" spans="1:13" x14ac:dyDescent="0.25">
      <c r="A337" s="4"/>
      <c r="B337" s="4"/>
      <c r="C337" s="4"/>
      <c r="D337" s="4"/>
      <c r="E337" s="4"/>
      <c r="F337" s="4"/>
      <c r="H337">
        <f t="shared" si="33"/>
        <v>0</v>
      </c>
      <c r="I337">
        <f t="shared" si="30"/>
        <v>0</v>
      </c>
      <c r="J337">
        <f t="shared" si="31"/>
        <v>0</v>
      </c>
      <c r="K337">
        <f t="shared" si="32"/>
        <v>0</v>
      </c>
      <c r="L337">
        <f t="shared" si="34"/>
        <v>0</v>
      </c>
      <c r="M337">
        <f t="shared" si="35"/>
        <v>0</v>
      </c>
    </row>
    <row r="338" spans="1:13" x14ac:dyDescent="0.25">
      <c r="A338" s="4"/>
      <c r="B338" s="4"/>
      <c r="C338" s="4"/>
      <c r="D338" s="4"/>
      <c r="E338" s="4"/>
      <c r="F338" s="4"/>
      <c r="H338">
        <f t="shared" si="33"/>
        <v>0</v>
      </c>
      <c r="I338">
        <f t="shared" si="30"/>
        <v>0</v>
      </c>
      <c r="J338">
        <f t="shared" si="31"/>
        <v>0</v>
      </c>
      <c r="K338">
        <f t="shared" si="32"/>
        <v>0</v>
      </c>
      <c r="L338">
        <f t="shared" si="34"/>
        <v>0</v>
      </c>
      <c r="M338">
        <f t="shared" si="35"/>
        <v>0</v>
      </c>
    </row>
    <row r="339" spans="1:13" x14ac:dyDescent="0.25">
      <c r="A339" s="4"/>
      <c r="B339" s="4"/>
      <c r="C339" s="4"/>
      <c r="D339" s="4"/>
      <c r="E339" s="4"/>
      <c r="F339" s="4"/>
      <c r="H339">
        <f t="shared" si="33"/>
        <v>0</v>
      </c>
      <c r="I339">
        <f t="shared" si="30"/>
        <v>0</v>
      </c>
      <c r="J339">
        <f t="shared" si="31"/>
        <v>0</v>
      </c>
      <c r="K339">
        <f t="shared" si="32"/>
        <v>0</v>
      </c>
      <c r="L339">
        <f t="shared" si="34"/>
        <v>0</v>
      </c>
      <c r="M339">
        <f t="shared" si="35"/>
        <v>0</v>
      </c>
    </row>
    <row r="340" spans="1:13" x14ac:dyDescent="0.25">
      <c r="A340" s="4"/>
      <c r="B340" s="4"/>
      <c r="C340" s="4"/>
      <c r="D340" s="4"/>
      <c r="E340" s="4"/>
      <c r="F340" s="4"/>
      <c r="H340">
        <f t="shared" si="33"/>
        <v>0</v>
      </c>
      <c r="I340">
        <f t="shared" si="30"/>
        <v>0</v>
      </c>
      <c r="J340">
        <f t="shared" si="31"/>
        <v>0</v>
      </c>
      <c r="K340">
        <f t="shared" si="32"/>
        <v>0</v>
      </c>
      <c r="L340">
        <f t="shared" si="34"/>
        <v>0</v>
      </c>
      <c r="M340">
        <f t="shared" si="35"/>
        <v>0</v>
      </c>
    </row>
    <row r="341" spans="1:13" x14ac:dyDescent="0.25">
      <c r="A341" s="4"/>
      <c r="B341" s="4"/>
      <c r="C341" s="4"/>
      <c r="D341" s="4"/>
      <c r="E341" s="4"/>
      <c r="F341" s="4"/>
      <c r="H341">
        <f t="shared" si="33"/>
        <v>0</v>
      </c>
      <c r="I341">
        <f t="shared" si="30"/>
        <v>0</v>
      </c>
      <c r="J341">
        <f t="shared" si="31"/>
        <v>0</v>
      </c>
      <c r="K341">
        <f t="shared" si="32"/>
        <v>0</v>
      </c>
      <c r="L341">
        <f t="shared" si="34"/>
        <v>0</v>
      </c>
      <c r="M341">
        <f t="shared" si="35"/>
        <v>0</v>
      </c>
    </row>
    <row r="342" spans="1:13" x14ac:dyDescent="0.25">
      <c r="A342" s="4"/>
      <c r="B342" s="4"/>
      <c r="C342" s="4"/>
      <c r="D342" s="4"/>
      <c r="E342" s="4"/>
      <c r="F342" s="4"/>
      <c r="H342">
        <f t="shared" si="33"/>
        <v>0</v>
      </c>
      <c r="I342">
        <f t="shared" si="30"/>
        <v>0</v>
      </c>
      <c r="J342">
        <f t="shared" si="31"/>
        <v>0</v>
      </c>
      <c r="K342">
        <f t="shared" si="32"/>
        <v>0</v>
      </c>
      <c r="L342">
        <f t="shared" si="34"/>
        <v>0</v>
      </c>
      <c r="M342">
        <f t="shared" si="35"/>
        <v>0</v>
      </c>
    </row>
    <row r="343" spans="1:13" x14ac:dyDescent="0.25">
      <c r="A343" s="4"/>
      <c r="B343" s="4"/>
      <c r="C343" s="4"/>
      <c r="D343" s="4"/>
      <c r="E343" s="4"/>
      <c r="F343" s="4"/>
      <c r="H343">
        <f t="shared" si="33"/>
        <v>0</v>
      </c>
      <c r="I343">
        <f t="shared" si="30"/>
        <v>0</v>
      </c>
      <c r="J343">
        <f t="shared" si="31"/>
        <v>0</v>
      </c>
      <c r="K343">
        <f t="shared" si="32"/>
        <v>0</v>
      </c>
      <c r="L343">
        <f t="shared" si="34"/>
        <v>0</v>
      </c>
      <c r="M343">
        <f t="shared" si="35"/>
        <v>0</v>
      </c>
    </row>
    <row r="344" spans="1:13" x14ac:dyDescent="0.25">
      <c r="A344" s="4"/>
      <c r="B344" s="4"/>
      <c r="C344" s="4"/>
      <c r="D344" s="4"/>
      <c r="E344" s="4"/>
      <c r="F344" s="4"/>
      <c r="H344">
        <f t="shared" si="33"/>
        <v>0</v>
      </c>
      <c r="I344">
        <f t="shared" si="30"/>
        <v>0</v>
      </c>
      <c r="J344">
        <f t="shared" si="31"/>
        <v>0</v>
      </c>
      <c r="K344">
        <f t="shared" si="32"/>
        <v>0</v>
      </c>
      <c r="L344">
        <f t="shared" si="34"/>
        <v>0</v>
      </c>
      <c r="M344">
        <f t="shared" si="35"/>
        <v>0</v>
      </c>
    </row>
    <row r="345" spans="1:13" x14ac:dyDescent="0.25">
      <c r="A345" s="4"/>
      <c r="B345" s="4"/>
      <c r="C345" s="4"/>
      <c r="D345" s="4"/>
      <c r="E345" s="4"/>
      <c r="F345" s="4"/>
      <c r="H345">
        <f t="shared" si="33"/>
        <v>0</v>
      </c>
      <c r="I345">
        <f t="shared" si="30"/>
        <v>0</v>
      </c>
      <c r="J345">
        <f t="shared" si="31"/>
        <v>0</v>
      </c>
      <c r="K345">
        <f t="shared" si="32"/>
        <v>0</v>
      </c>
      <c r="L345">
        <f t="shared" si="34"/>
        <v>0</v>
      </c>
      <c r="M345">
        <f t="shared" si="35"/>
        <v>0</v>
      </c>
    </row>
    <row r="346" spans="1:13" x14ac:dyDescent="0.25">
      <c r="A346" s="4"/>
      <c r="B346" s="4"/>
      <c r="C346" s="4"/>
      <c r="D346" s="4"/>
      <c r="E346" s="4"/>
      <c r="F346" s="4"/>
      <c r="H346">
        <f t="shared" si="33"/>
        <v>0</v>
      </c>
      <c r="I346">
        <f t="shared" si="30"/>
        <v>0</v>
      </c>
      <c r="J346">
        <f t="shared" si="31"/>
        <v>0</v>
      </c>
      <c r="K346">
        <f t="shared" si="32"/>
        <v>0</v>
      </c>
      <c r="L346">
        <f t="shared" si="34"/>
        <v>0</v>
      </c>
      <c r="M346">
        <f t="shared" si="35"/>
        <v>0</v>
      </c>
    </row>
    <row r="347" spans="1:13" x14ac:dyDescent="0.25">
      <c r="A347" s="4"/>
      <c r="B347" s="4"/>
      <c r="C347" s="4"/>
      <c r="D347" s="4"/>
      <c r="E347" s="4"/>
      <c r="F347" s="4"/>
      <c r="H347">
        <f t="shared" si="33"/>
        <v>0</v>
      </c>
      <c r="I347">
        <f t="shared" si="30"/>
        <v>0</v>
      </c>
      <c r="J347">
        <f t="shared" si="31"/>
        <v>0</v>
      </c>
      <c r="K347">
        <f t="shared" si="32"/>
        <v>0</v>
      </c>
      <c r="L347">
        <f t="shared" si="34"/>
        <v>0</v>
      </c>
      <c r="M347">
        <f t="shared" si="35"/>
        <v>0</v>
      </c>
    </row>
    <row r="348" spans="1:13" x14ac:dyDescent="0.25">
      <c r="A348" s="4"/>
      <c r="B348" s="4"/>
      <c r="C348" s="4"/>
      <c r="D348" s="4"/>
      <c r="E348" s="4"/>
      <c r="F348" s="4"/>
      <c r="H348">
        <f t="shared" si="33"/>
        <v>0</v>
      </c>
      <c r="I348">
        <f t="shared" si="30"/>
        <v>0</v>
      </c>
      <c r="J348">
        <f t="shared" si="31"/>
        <v>0</v>
      </c>
      <c r="K348">
        <f t="shared" si="32"/>
        <v>0</v>
      </c>
      <c r="L348">
        <f t="shared" si="34"/>
        <v>0</v>
      </c>
      <c r="M348">
        <f t="shared" si="35"/>
        <v>0</v>
      </c>
    </row>
    <row r="349" spans="1:13" x14ac:dyDescent="0.25">
      <c r="A349" s="4"/>
      <c r="B349" s="4"/>
      <c r="C349" s="4"/>
      <c r="D349" s="4"/>
      <c r="E349" s="4"/>
      <c r="F349" s="4"/>
      <c r="H349">
        <f t="shared" si="33"/>
        <v>0</v>
      </c>
      <c r="I349">
        <f t="shared" si="30"/>
        <v>0</v>
      </c>
      <c r="J349">
        <f t="shared" si="31"/>
        <v>0</v>
      </c>
      <c r="K349">
        <f t="shared" si="32"/>
        <v>0</v>
      </c>
      <c r="L349">
        <f t="shared" si="34"/>
        <v>0</v>
      </c>
      <c r="M349">
        <f t="shared" si="35"/>
        <v>0</v>
      </c>
    </row>
    <row r="350" spans="1:13" x14ac:dyDescent="0.25">
      <c r="A350" s="4"/>
      <c r="B350" s="4"/>
      <c r="C350" s="4"/>
      <c r="D350" s="4"/>
      <c r="E350" s="4"/>
      <c r="F350" s="4"/>
      <c r="H350">
        <f t="shared" si="33"/>
        <v>0</v>
      </c>
      <c r="I350">
        <f t="shared" si="30"/>
        <v>0</v>
      </c>
      <c r="J350">
        <f t="shared" si="31"/>
        <v>0</v>
      </c>
      <c r="K350">
        <f t="shared" si="32"/>
        <v>0</v>
      </c>
      <c r="L350">
        <f t="shared" si="34"/>
        <v>0</v>
      </c>
      <c r="M350">
        <f t="shared" si="35"/>
        <v>0</v>
      </c>
    </row>
    <row r="351" spans="1:13" x14ac:dyDescent="0.25">
      <c r="A351" s="4"/>
      <c r="B351" s="4"/>
      <c r="C351" s="4"/>
      <c r="D351" s="4"/>
      <c r="E351" s="4"/>
      <c r="F351" s="4"/>
      <c r="H351">
        <f t="shared" si="33"/>
        <v>0</v>
      </c>
      <c r="I351">
        <f t="shared" si="30"/>
        <v>0</v>
      </c>
      <c r="J351">
        <f t="shared" si="31"/>
        <v>0</v>
      </c>
      <c r="K351">
        <f t="shared" si="32"/>
        <v>0</v>
      </c>
      <c r="L351">
        <f t="shared" si="34"/>
        <v>0</v>
      </c>
      <c r="M351">
        <f t="shared" si="35"/>
        <v>0</v>
      </c>
    </row>
    <row r="352" spans="1:13" x14ac:dyDescent="0.25">
      <c r="A352" s="4"/>
      <c r="B352" s="4"/>
      <c r="C352" s="4"/>
      <c r="D352" s="4"/>
      <c r="E352" s="4"/>
      <c r="F352" s="4"/>
      <c r="H352">
        <f t="shared" si="33"/>
        <v>0</v>
      </c>
      <c r="I352">
        <f t="shared" si="30"/>
        <v>0</v>
      </c>
      <c r="J352">
        <f t="shared" si="31"/>
        <v>0</v>
      </c>
      <c r="K352">
        <f t="shared" si="32"/>
        <v>0</v>
      </c>
      <c r="L352">
        <f t="shared" si="34"/>
        <v>0</v>
      </c>
      <c r="M352">
        <f t="shared" si="35"/>
        <v>0</v>
      </c>
    </row>
    <row r="353" spans="1:13" x14ac:dyDescent="0.25">
      <c r="A353" s="4"/>
      <c r="B353" s="4"/>
      <c r="C353" s="4"/>
      <c r="D353" s="4"/>
      <c r="E353" s="4"/>
      <c r="F353" s="4"/>
      <c r="H353">
        <f t="shared" si="33"/>
        <v>0</v>
      </c>
      <c r="I353">
        <f t="shared" si="30"/>
        <v>0</v>
      </c>
      <c r="J353">
        <f t="shared" si="31"/>
        <v>0</v>
      </c>
      <c r="K353">
        <f t="shared" si="32"/>
        <v>0</v>
      </c>
      <c r="L353">
        <f t="shared" si="34"/>
        <v>0</v>
      </c>
      <c r="M353">
        <f t="shared" si="35"/>
        <v>0</v>
      </c>
    </row>
    <row r="354" spans="1:13" x14ac:dyDescent="0.25">
      <c r="A354" s="4"/>
      <c r="B354" s="4"/>
      <c r="C354" s="4"/>
      <c r="D354" s="4"/>
      <c r="E354" s="4"/>
      <c r="F354" s="4"/>
      <c r="H354">
        <f t="shared" si="33"/>
        <v>0</v>
      </c>
      <c r="I354">
        <f t="shared" si="30"/>
        <v>0</v>
      </c>
      <c r="J354">
        <f t="shared" si="31"/>
        <v>0</v>
      </c>
      <c r="K354">
        <f t="shared" si="32"/>
        <v>0</v>
      </c>
      <c r="L354">
        <f t="shared" si="34"/>
        <v>0</v>
      </c>
      <c r="M354">
        <f t="shared" si="35"/>
        <v>0</v>
      </c>
    </row>
    <row r="355" spans="1:13" x14ac:dyDescent="0.25">
      <c r="A355" s="4"/>
      <c r="B355" s="4"/>
      <c r="C355" s="4"/>
      <c r="D355" s="4"/>
      <c r="E355" s="4"/>
      <c r="F355" s="4"/>
      <c r="H355">
        <f t="shared" si="33"/>
        <v>0</v>
      </c>
      <c r="I355">
        <f t="shared" si="30"/>
        <v>0</v>
      </c>
      <c r="J355">
        <f t="shared" si="31"/>
        <v>0</v>
      </c>
      <c r="K355">
        <f t="shared" si="32"/>
        <v>0</v>
      </c>
      <c r="L355">
        <f t="shared" si="34"/>
        <v>0</v>
      </c>
      <c r="M355">
        <f t="shared" si="35"/>
        <v>0</v>
      </c>
    </row>
    <row r="356" spans="1:13" x14ac:dyDescent="0.25">
      <c r="A356" s="4"/>
      <c r="B356" s="4"/>
      <c r="C356" s="4"/>
      <c r="D356" s="4"/>
      <c r="E356" s="4"/>
      <c r="F356" s="4"/>
      <c r="H356">
        <f t="shared" si="33"/>
        <v>0</v>
      </c>
      <c r="I356">
        <f t="shared" si="30"/>
        <v>0</v>
      </c>
      <c r="J356">
        <f t="shared" si="31"/>
        <v>0</v>
      </c>
      <c r="K356">
        <f t="shared" si="32"/>
        <v>0</v>
      </c>
      <c r="L356">
        <f t="shared" si="34"/>
        <v>0</v>
      </c>
      <c r="M356">
        <f t="shared" si="35"/>
        <v>0</v>
      </c>
    </row>
    <row r="357" spans="1:13" x14ac:dyDescent="0.25">
      <c r="A357" s="4"/>
      <c r="B357" s="4"/>
      <c r="C357" s="4"/>
      <c r="D357" s="4"/>
      <c r="E357" s="4"/>
      <c r="F357" s="4"/>
      <c r="H357">
        <f t="shared" si="33"/>
        <v>0</v>
      </c>
      <c r="I357">
        <f t="shared" si="30"/>
        <v>0</v>
      </c>
      <c r="J357">
        <f t="shared" si="31"/>
        <v>0</v>
      </c>
      <c r="K357">
        <f t="shared" si="32"/>
        <v>0</v>
      </c>
      <c r="L357">
        <f t="shared" si="34"/>
        <v>0</v>
      </c>
      <c r="M357">
        <f t="shared" si="35"/>
        <v>0</v>
      </c>
    </row>
    <row r="358" spans="1:13" x14ac:dyDescent="0.25">
      <c r="A358" s="4"/>
      <c r="B358" s="4"/>
      <c r="C358" s="4"/>
      <c r="D358" s="4"/>
      <c r="E358" s="4"/>
      <c r="F358" s="4"/>
      <c r="H358">
        <f t="shared" si="33"/>
        <v>0</v>
      </c>
      <c r="I358">
        <f t="shared" si="30"/>
        <v>0</v>
      </c>
      <c r="J358">
        <f t="shared" si="31"/>
        <v>0</v>
      </c>
      <c r="K358">
        <f t="shared" si="32"/>
        <v>0</v>
      </c>
      <c r="L358">
        <f t="shared" si="34"/>
        <v>0</v>
      </c>
      <c r="M358">
        <f t="shared" si="35"/>
        <v>0</v>
      </c>
    </row>
    <row r="359" spans="1:13" x14ac:dyDescent="0.25">
      <c r="A359" s="4"/>
      <c r="B359" s="4"/>
      <c r="C359" s="4"/>
      <c r="D359" s="4"/>
      <c r="E359" s="4"/>
      <c r="F359" s="4"/>
      <c r="H359">
        <f t="shared" si="33"/>
        <v>0</v>
      </c>
      <c r="I359">
        <f t="shared" si="30"/>
        <v>0</v>
      </c>
      <c r="J359">
        <f t="shared" si="31"/>
        <v>0</v>
      </c>
      <c r="K359">
        <f t="shared" si="32"/>
        <v>0</v>
      </c>
      <c r="L359">
        <f t="shared" si="34"/>
        <v>0</v>
      </c>
      <c r="M359">
        <f t="shared" si="35"/>
        <v>0</v>
      </c>
    </row>
    <row r="360" spans="1:13" x14ac:dyDescent="0.25">
      <c r="A360" s="4"/>
      <c r="B360" s="4"/>
      <c r="C360" s="4"/>
      <c r="D360" s="4"/>
      <c r="E360" s="4"/>
      <c r="F360" s="4"/>
      <c r="H360">
        <f t="shared" si="33"/>
        <v>0</v>
      </c>
      <c r="I360">
        <f t="shared" si="30"/>
        <v>0</v>
      </c>
      <c r="J360">
        <f t="shared" si="31"/>
        <v>0</v>
      </c>
      <c r="K360">
        <f t="shared" si="32"/>
        <v>0</v>
      </c>
      <c r="L360">
        <f t="shared" si="34"/>
        <v>0</v>
      </c>
      <c r="M360">
        <f t="shared" si="35"/>
        <v>0</v>
      </c>
    </row>
    <row r="361" spans="1:13" x14ac:dyDescent="0.25">
      <c r="A361" s="4"/>
      <c r="B361" s="4"/>
      <c r="C361" s="4"/>
      <c r="D361" s="4"/>
      <c r="E361" s="4"/>
      <c r="F361" s="4"/>
      <c r="H361">
        <f t="shared" si="33"/>
        <v>0</v>
      </c>
      <c r="I361">
        <f t="shared" si="30"/>
        <v>0</v>
      </c>
      <c r="J361">
        <f t="shared" si="31"/>
        <v>0</v>
      </c>
      <c r="K361">
        <f t="shared" si="32"/>
        <v>0</v>
      </c>
      <c r="L361">
        <f t="shared" si="34"/>
        <v>0</v>
      </c>
      <c r="M361">
        <f t="shared" si="35"/>
        <v>0</v>
      </c>
    </row>
    <row r="362" spans="1:13" x14ac:dyDescent="0.25">
      <c r="A362" s="4"/>
      <c r="B362" s="4"/>
      <c r="C362" s="4"/>
      <c r="D362" s="4"/>
      <c r="E362" s="4"/>
      <c r="F362" s="4"/>
      <c r="H362">
        <f t="shared" si="33"/>
        <v>0</v>
      </c>
      <c r="I362">
        <f t="shared" si="30"/>
        <v>0</v>
      </c>
      <c r="J362">
        <f t="shared" si="31"/>
        <v>0</v>
      </c>
      <c r="K362">
        <f t="shared" si="32"/>
        <v>0</v>
      </c>
      <c r="L362">
        <f t="shared" si="34"/>
        <v>0</v>
      </c>
      <c r="M362">
        <f t="shared" si="35"/>
        <v>0</v>
      </c>
    </row>
    <row r="363" spans="1:13" x14ac:dyDescent="0.25">
      <c r="A363" s="4"/>
      <c r="B363" s="4"/>
      <c r="C363" s="4"/>
      <c r="D363" s="4"/>
      <c r="E363" s="4"/>
      <c r="F363" s="4"/>
      <c r="H363">
        <f t="shared" si="33"/>
        <v>0</v>
      </c>
      <c r="I363">
        <f t="shared" si="30"/>
        <v>0</v>
      </c>
      <c r="J363">
        <f t="shared" si="31"/>
        <v>0</v>
      </c>
      <c r="K363">
        <f t="shared" si="32"/>
        <v>0</v>
      </c>
      <c r="L363">
        <f t="shared" si="34"/>
        <v>0</v>
      </c>
      <c r="M363">
        <f t="shared" si="35"/>
        <v>0</v>
      </c>
    </row>
    <row r="364" spans="1:13" x14ac:dyDescent="0.25">
      <c r="A364" s="4"/>
      <c r="B364" s="4"/>
      <c r="C364" s="4"/>
      <c r="D364" s="4"/>
      <c r="E364" s="4"/>
      <c r="F364" s="4"/>
      <c r="H364">
        <f t="shared" si="33"/>
        <v>0</v>
      </c>
      <c r="I364">
        <f t="shared" si="30"/>
        <v>0</v>
      </c>
      <c r="J364">
        <f t="shared" si="31"/>
        <v>0</v>
      </c>
      <c r="K364">
        <f t="shared" si="32"/>
        <v>0</v>
      </c>
      <c r="L364">
        <f t="shared" si="34"/>
        <v>0</v>
      </c>
      <c r="M364">
        <f t="shared" si="35"/>
        <v>0</v>
      </c>
    </row>
    <row r="365" spans="1:13" x14ac:dyDescent="0.25">
      <c r="A365" s="4"/>
      <c r="B365" s="4"/>
      <c r="C365" s="4"/>
      <c r="D365" s="4"/>
      <c r="E365" s="4"/>
      <c r="F365" s="4"/>
      <c r="H365">
        <f t="shared" si="33"/>
        <v>0</v>
      </c>
      <c r="I365">
        <f t="shared" si="30"/>
        <v>0</v>
      </c>
      <c r="J365">
        <f t="shared" si="31"/>
        <v>0</v>
      </c>
      <c r="K365">
        <f t="shared" si="32"/>
        <v>0</v>
      </c>
      <c r="L365">
        <f t="shared" si="34"/>
        <v>0</v>
      </c>
      <c r="M365">
        <f t="shared" si="35"/>
        <v>0</v>
      </c>
    </row>
    <row r="366" spans="1:13" x14ac:dyDescent="0.25">
      <c r="A366" s="4"/>
      <c r="B366" s="4"/>
      <c r="C366" s="4"/>
      <c r="D366" s="4"/>
      <c r="E366" s="4"/>
      <c r="F366" s="4"/>
      <c r="H366">
        <f t="shared" si="33"/>
        <v>0</v>
      </c>
      <c r="I366">
        <f t="shared" si="30"/>
        <v>0</v>
      </c>
      <c r="J366">
        <f t="shared" si="31"/>
        <v>0</v>
      </c>
      <c r="K366">
        <f t="shared" si="32"/>
        <v>0</v>
      </c>
      <c r="L366">
        <f t="shared" si="34"/>
        <v>0</v>
      </c>
      <c r="M366">
        <f t="shared" si="35"/>
        <v>0</v>
      </c>
    </row>
    <row r="367" spans="1:13" x14ac:dyDescent="0.25">
      <c r="A367" s="4"/>
      <c r="B367" s="4"/>
      <c r="C367" s="4"/>
      <c r="D367" s="4"/>
      <c r="E367" s="4"/>
      <c r="F367" s="4"/>
      <c r="H367">
        <f t="shared" si="33"/>
        <v>0</v>
      </c>
      <c r="I367">
        <f t="shared" si="30"/>
        <v>0</v>
      </c>
      <c r="J367">
        <f t="shared" si="31"/>
        <v>0</v>
      </c>
      <c r="K367">
        <f t="shared" si="32"/>
        <v>0</v>
      </c>
      <c r="L367">
        <f t="shared" si="34"/>
        <v>0</v>
      </c>
      <c r="M367">
        <f t="shared" si="35"/>
        <v>0</v>
      </c>
    </row>
    <row r="368" spans="1:13" x14ac:dyDescent="0.25">
      <c r="A368" s="4"/>
      <c r="B368" s="4"/>
      <c r="C368" s="4"/>
      <c r="D368" s="4"/>
      <c r="E368" s="4"/>
      <c r="F368" s="4"/>
      <c r="H368">
        <f t="shared" si="33"/>
        <v>0</v>
      </c>
      <c r="I368">
        <f t="shared" si="30"/>
        <v>0</v>
      </c>
      <c r="J368">
        <f t="shared" si="31"/>
        <v>0</v>
      </c>
      <c r="K368">
        <f t="shared" si="32"/>
        <v>0</v>
      </c>
      <c r="L368">
        <f t="shared" si="34"/>
        <v>0</v>
      </c>
      <c r="M368">
        <f t="shared" si="35"/>
        <v>0</v>
      </c>
    </row>
    <row r="369" spans="1:13" x14ac:dyDescent="0.25">
      <c r="A369" s="4"/>
      <c r="B369" s="4"/>
      <c r="C369" s="4"/>
      <c r="D369" s="4"/>
      <c r="E369" s="4"/>
      <c r="F369" s="4"/>
      <c r="H369">
        <f t="shared" si="33"/>
        <v>0</v>
      </c>
      <c r="I369">
        <f t="shared" si="30"/>
        <v>0</v>
      </c>
      <c r="J369">
        <f t="shared" si="31"/>
        <v>0</v>
      </c>
      <c r="K369">
        <f t="shared" si="32"/>
        <v>0</v>
      </c>
      <c r="L369">
        <f t="shared" si="34"/>
        <v>0</v>
      </c>
      <c r="M369">
        <f t="shared" si="35"/>
        <v>0</v>
      </c>
    </row>
    <row r="370" spans="1:13" x14ac:dyDescent="0.25">
      <c r="A370" s="4"/>
      <c r="B370" s="4"/>
      <c r="C370" s="4"/>
      <c r="D370" s="4"/>
      <c r="E370" s="4"/>
      <c r="F370" s="4"/>
      <c r="H370">
        <f t="shared" si="33"/>
        <v>0</v>
      </c>
      <c r="I370">
        <f t="shared" si="30"/>
        <v>0</v>
      </c>
      <c r="J370">
        <f t="shared" si="31"/>
        <v>0</v>
      </c>
      <c r="K370">
        <f t="shared" si="32"/>
        <v>0</v>
      </c>
      <c r="L370">
        <f t="shared" si="34"/>
        <v>0</v>
      </c>
      <c r="M370">
        <f t="shared" si="35"/>
        <v>0</v>
      </c>
    </row>
    <row r="371" spans="1:13" x14ac:dyDescent="0.25">
      <c r="A371" s="4"/>
      <c r="B371" s="4"/>
      <c r="C371" s="4"/>
      <c r="D371" s="4"/>
      <c r="E371" s="4"/>
      <c r="F371" s="4"/>
      <c r="H371">
        <f t="shared" si="33"/>
        <v>0</v>
      </c>
      <c r="I371">
        <f t="shared" si="30"/>
        <v>0</v>
      </c>
      <c r="J371">
        <f t="shared" si="31"/>
        <v>0</v>
      </c>
      <c r="K371">
        <f t="shared" si="32"/>
        <v>0</v>
      </c>
      <c r="L371">
        <f t="shared" si="34"/>
        <v>0</v>
      </c>
      <c r="M371">
        <f t="shared" si="35"/>
        <v>0</v>
      </c>
    </row>
    <row r="372" spans="1:13" x14ac:dyDescent="0.25">
      <c r="A372" s="4"/>
      <c r="B372" s="4"/>
      <c r="C372" s="4"/>
      <c r="D372" s="4"/>
      <c r="E372" s="4"/>
      <c r="F372" s="4"/>
      <c r="H372">
        <f t="shared" si="33"/>
        <v>0</v>
      </c>
      <c r="I372">
        <f t="shared" si="30"/>
        <v>0</v>
      </c>
      <c r="J372">
        <f t="shared" si="31"/>
        <v>0</v>
      </c>
      <c r="K372">
        <f t="shared" si="32"/>
        <v>0</v>
      </c>
      <c r="L372">
        <f t="shared" si="34"/>
        <v>0</v>
      </c>
      <c r="M372">
        <f t="shared" si="35"/>
        <v>0</v>
      </c>
    </row>
    <row r="373" spans="1:13" x14ac:dyDescent="0.25">
      <c r="A373" s="4"/>
      <c r="B373" s="4"/>
      <c r="C373" s="4"/>
      <c r="D373" s="4"/>
      <c r="E373" s="4"/>
      <c r="F373" s="4"/>
      <c r="H373">
        <f t="shared" si="33"/>
        <v>0</v>
      </c>
      <c r="I373">
        <f t="shared" si="30"/>
        <v>0</v>
      </c>
      <c r="J373">
        <f t="shared" si="31"/>
        <v>0</v>
      </c>
      <c r="K373">
        <f t="shared" si="32"/>
        <v>0</v>
      </c>
      <c r="L373">
        <f t="shared" si="34"/>
        <v>0</v>
      </c>
      <c r="M373">
        <f t="shared" si="35"/>
        <v>0</v>
      </c>
    </row>
    <row r="374" spans="1:13" x14ac:dyDescent="0.25">
      <c r="A374" s="4"/>
      <c r="B374" s="4"/>
      <c r="C374" s="4"/>
      <c r="D374" s="4"/>
      <c r="E374" s="4"/>
      <c r="F374" s="4"/>
      <c r="H374">
        <f t="shared" si="33"/>
        <v>0</v>
      </c>
      <c r="I374">
        <f t="shared" si="30"/>
        <v>0</v>
      </c>
      <c r="J374">
        <f t="shared" si="31"/>
        <v>0</v>
      </c>
      <c r="K374">
        <f t="shared" si="32"/>
        <v>0</v>
      </c>
      <c r="L374">
        <f t="shared" si="34"/>
        <v>0</v>
      </c>
      <c r="M374">
        <f t="shared" si="35"/>
        <v>0</v>
      </c>
    </row>
    <row r="375" spans="1:13" x14ac:dyDescent="0.25">
      <c r="A375" s="4"/>
      <c r="B375" s="4"/>
      <c r="C375" s="4"/>
      <c r="D375" s="4"/>
      <c r="E375" s="4"/>
      <c r="F375" s="4"/>
      <c r="H375">
        <f t="shared" si="33"/>
        <v>0</v>
      </c>
      <c r="I375">
        <f t="shared" si="30"/>
        <v>0</v>
      </c>
      <c r="J375">
        <f t="shared" si="31"/>
        <v>0</v>
      </c>
      <c r="K375">
        <f t="shared" si="32"/>
        <v>0</v>
      </c>
      <c r="L375">
        <f t="shared" si="34"/>
        <v>0</v>
      </c>
      <c r="M375">
        <f t="shared" si="35"/>
        <v>0</v>
      </c>
    </row>
    <row r="376" spans="1:13" x14ac:dyDescent="0.25">
      <c r="A376" s="4"/>
      <c r="B376" s="4"/>
      <c r="C376" s="4"/>
      <c r="D376" s="4"/>
      <c r="E376" s="4"/>
      <c r="F376" s="4"/>
      <c r="H376">
        <f t="shared" si="33"/>
        <v>0</v>
      </c>
      <c r="I376">
        <f t="shared" si="30"/>
        <v>0</v>
      </c>
      <c r="J376">
        <f t="shared" si="31"/>
        <v>0</v>
      </c>
      <c r="K376">
        <f t="shared" si="32"/>
        <v>0</v>
      </c>
      <c r="L376">
        <f t="shared" si="34"/>
        <v>0</v>
      </c>
      <c r="M376">
        <f t="shared" si="35"/>
        <v>0</v>
      </c>
    </row>
    <row r="377" spans="1:13" x14ac:dyDescent="0.25">
      <c r="A377" s="4"/>
      <c r="B377" s="4"/>
      <c r="C377" s="4"/>
      <c r="D377" s="4"/>
      <c r="E377" s="4"/>
      <c r="F377" s="4"/>
      <c r="H377">
        <f t="shared" si="33"/>
        <v>0</v>
      </c>
      <c r="I377">
        <f t="shared" si="30"/>
        <v>0</v>
      </c>
      <c r="J377">
        <f t="shared" si="31"/>
        <v>0</v>
      </c>
      <c r="K377">
        <f t="shared" si="32"/>
        <v>0</v>
      </c>
      <c r="L377">
        <f t="shared" si="34"/>
        <v>0</v>
      </c>
      <c r="M377">
        <f t="shared" si="35"/>
        <v>0</v>
      </c>
    </row>
    <row r="378" spans="1:13" x14ac:dyDescent="0.25">
      <c r="A378" s="4"/>
      <c r="B378" s="4"/>
      <c r="C378" s="4"/>
      <c r="D378" s="4"/>
      <c r="E378" s="4"/>
      <c r="F378" s="4"/>
      <c r="H378">
        <f t="shared" si="33"/>
        <v>0</v>
      </c>
      <c r="I378">
        <f t="shared" si="30"/>
        <v>0</v>
      </c>
      <c r="J378">
        <f t="shared" si="31"/>
        <v>0</v>
      </c>
      <c r="K378">
        <f t="shared" si="32"/>
        <v>0</v>
      </c>
      <c r="L378">
        <f t="shared" si="34"/>
        <v>0</v>
      </c>
      <c r="M378">
        <f t="shared" si="35"/>
        <v>0</v>
      </c>
    </row>
    <row r="379" spans="1:13" x14ac:dyDescent="0.25">
      <c r="A379" s="4"/>
      <c r="B379" s="4"/>
      <c r="C379" s="4"/>
      <c r="D379" s="4"/>
      <c r="E379" s="4"/>
      <c r="F379" s="4"/>
      <c r="H379">
        <f t="shared" si="33"/>
        <v>0</v>
      </c>
      <c r="I379">
        <f t="shared" si="30"/>
        <v>0</v>
      </c>
      <c r="J379">
        <f t="shared" si="31"/>
        <v>0</v>
      </c>
      <c r="K379">
        <f t="shared" si="32"/>
        <v>0</v>
      </c>
      <c r="L379">
        <f t="shared" si="34"/>
        <v>0</v>
      </c>
      <c r="M379">
        <f t="shared" si="35"/>
        <v>0</v>
      </c>
    </row>
    <row r="380" spans="1:13" x14ac:dyDescent="0.25">
      <c r="A380" s="4"/>
      <c r="B380" s="4"/>
      <c r="C380" s="4"/>
      <c r="D380" s="4"/>
      <c r="E380" s="4"/>
      <c r="F380" s="4"/>
      <c r="H380">
        <f t="shared" si="33"/>
        <v>0</v>
      </c>
      <c r="I380">
        <f t="shared" si="30"/>
        <v>0</v>
      </c>
      <c r="J380">
        <f t="shared" si="31"/>
        <v>0</v>
      </c>
      <c r="K380">
        <f t="shared" si="32"/>
        <v>0</v>
      </c>
      <c r="L380">
        <f t="shared" si="34"/>
        <v>0</v>
      </c>
      <c r="M380">
        <f t="shared" si="35"/>
        <v>0</v>
      </c>
    </row>
    <row r="381" spans="1:13" x14ac:dyDescent="0.25">
      <c r="A381" s="4"/>
      <c r="B381" s="4"/>
      <c r="C381" s="4"/>
      <c r="D381" s="4"/>
      <c r="E381" s="4"/>
      <c r="F381" s="4"/>
      <c r="H381">
        <f t="shared" si="33"/>
        <v>0</v>
      </c>
      <c r="I381">
        <f t="shared" si="30"/>
        <v>0</v>
      </c>
      <c r="J381">
        <f t="shared" si="31"/>
        <v>0</v>
      </c>
      <c r="K381">
        <f t="shared" si="32"/>
        <v>0</v>
      </c>
      <c r="L381">
        <f t="shared" si="34"/>
        <v>0</v>
      </c>
      <c r="M381">
        <f t="shared" si="35"/>
        <v>0</v>
      </c>
    </row>
    <row r="382" spans="1:13" x14ac:dyDescent="0.25">
      <c r="A382" s="4"/>
      <c r="B382" s="4"/>
      <c r="C382" s="4"/>
      <c r="D382" s="4"/>
      <c r="E382" s="4"/>
      <c r="F382" s="4"/>
      <c r="H382">
        <f t="shared" si="33"/>
        <v>0</v>
      </c>
      <c r="I382">
        <f t="shared" si="30"/>
        <v>0</v>
      </c>
      <c r="J382">
        <f t="shared" si="31"/>
        <v>0</v>
      </c>
      <c r="K382">
        <f t="shared" si="32"/>
        <v>0</v>
      </c>
      <c r="L382">
        <f t="shared" si="34"/>
        <v>0</v>
      </c>
      <c r="M382">
        <f t="shared" si="35"/>
        <v>0</v>
      </c>
    </row>
    <row r="383" spans="1:13" x14ac:dyDescent="0.25">
      <c r="A383" s="4"/>
      <c r="B383" s="4"/>
      <c r="C383" s="4"/>
      <c r="D383" s="4"/>
      <c r="E383" s="4"/>
      <c r="F383" s="4"/>
      <c r="H383">
        <f t="shared" si="33"/>
        <v>0</v>
      </c>
      <c r="I383">
        <f t="shared" si="30"/>
        <v>0</v>
      </c>
      <c r="J383">
        <f t="shared" si="31"/>
        <v>0</v>
      </c>
      <c r="K383">
        <f t="shared" si="32"/>
        <v>0</v>
      </c>
      <c r="L383">
        <f t="shared" si="34"/>
        <v>0</v>
      </c>
      <c r="M383">
        <f t="shared" si="35"/>
        <v>0</v>
      </c>
    </row>
    <row r="384" spans="1:13" x14ac:dyDescent="0.25">
      <c r="A384" s="4"/>
      <c r="B384" s="4"/>
      <c r="C384" s="4"/>
      <c r="D384" s="4"/>
      <c r="E384" s="4"/>
      <c r="F384" s="4"/>
      <c r="H384">
        <f t="shared" si="33"/>
        <v>0</v>
      </c>
      <c r="I384">
        <f t="shared" si="30"/>
        <v>0</v>
      </c>
      <c r="J384">
        <f t="shared" si="31"/>
        <v>0</v>
      </c>
      <c r="K384">
        <f t="shared" si="32"/>
        <v>0</v>
      </c>
      <c r="L384">
        <f t="shared" si="34"/>
        <v>0</v>
      </c>
      <c r="M384">
        <f t="shared" si="35"/>
        <v>0</v>
      </c>
    </row>
    <row r="385" spans="1:13" x14ac:dyDescent="0.25">
      <c r="A385" s="4"/>
      <c r="B385" s="4"/>
      <c r="C385" s="4"/>
      <c r="D385" s="4"/>
      <c r="E385" s="4"/>
      <c r="F385" s="4"/>
      <c r="H385">
        <f t="shared" si="33"/>
        <v>0</v>
      </c>
      <c r="I385">
        <f t="shared" si="30"/>
        <v>0</v>
      </c>
      <c r="J385">
        <f t="shared" si="31"/>
        <v>0</v>
      </c>
      <c r="K385">
        <f t="shared" si="32"/>
        <v>0</v>
      </c>
      <c r="L385">
        <f t="shared" si="34"/>
        <v>0</v>
      </c>
      <c r="M385">
        <f t="shared" si="35"/>
        <v>0</v>
      </c>
    </row>
    <row r="386" spans="1:13" x14ac:dyDescent="0.25">
      <c r="A386" s="4"/>
      <c r="B386" s="4"/>
      <c r="C386" s="4"/>
      <c r="D386" s="4"/>
      <c r="E386" s="4"/>
      <c r="F386" s="4"/>
      <c r="H386">
        <f t="shared" si="33"/>
        <v>0</v>
      </c>
      <c r="I386">
        <f t="shared" ref="I386:I449" si="36">C386*$I$1</f>
        <v>0</v>
      </c>
      <c r="J386">
        <f t="shared" ref="J386:J449" si="37">D386*$J$1</f>
        <v>0</v>
      </c>
      <c r="K386">
        <f t="shared" ref="K386:K449" si="38">E386*$K$1</f>
        <v>0</v>
      </c>
      <c r="L386">
        <f t="shared" si="34"/>
        <v>0</v>
      </c>
      <c r="M386">
        <f t="shared" si="35"/>
        <v>0</v>
      </c>
    </row>
    <row r="387" spans="1:13" x14ac:dyDescent="0.25">
      <c r="A387" s="4"/>
      <c r="B387" s="4"/>
      <c r="C387" s="4"/>
      <c r="D387" s="4"/>
      <c r="E387" s="4"/>
      <c r="F387" s="4"/>
      <c r="H387">
        <f t="shared" ref="H387:H450" si="39">B387*$H$1</f>
        <v>0</v>
      </c>
      <c r="I387">
        <f t="shared" si="36"/>
        <v>0</v>
      </c>
      <c r="J387">
        <f t="shared" si="37"/>
        <v>0</v>
      </c>
      <c r="K387">
        <f t="shared" si="38"/>
        <v>0</v>
      </c>
      <c r="L387">
        <f t="shared" ref="L387:L450" si="40">F387*$L$1</f>
        <v>0</v>
      </c>
      <c r="M387">
        <f t="shared" ref="M387:M450" si="41">SUM(H387:L387)</f>
        <v>0</v>
      </c>
    </row>
    <row r="388" spans="1:13" x14ac:dyDescent="0.25">
      <c r="A388" s="4"/>
      <c r="B388" s="4"/>
      <c r="C388" s="4"/>
      <c r="D388" s="4"/>
      <c r="E388" s="4"/>
      <c r="F388" s="4"/>
      <c r="H388">
        <f t="shared" si="39"/>
        <v>0</v>
      </c>
      <c r="I388">
        <f t="shared" si="36"/>
        <v>0</v>
      </c>
      <c r="J388">
        <f t="shared" si="37"/>
        <v>0</v>
      </c>
      <c r="K388">
        <f t="shared" si="38"/>
        <v>0</v>
      </c>
      <c r="L388">
        <f t="shared" si="40"/>
        <v>0</v>
      </c>
      <c r="M388">
        <f t="shared" si="41"/>
        <v>0</v>
      </c>
    </row>
    <row r="389" spans="1:13" x14ac:dyDescent="0.25">
      <c r="A389" s="4"/>
      <c r="B389" s="4"/>
      <c r="C389" s="4"/>
      <c r="D389" s="4"/>
      <c r="E389" s="4"/>
      <c r="F389" s="4"/>
      <c r="H389">
        <f t="shared" si="39"/>
        <v>0</v>
      </c>
      <c r="I389">
        <f t="shared" si="36"/>
        <v>0</v>
      </c>
      <c r="J389">
        <f t="shared" si="37"/>
        <v>0</v>
      </c>
      <c r="K389">
        <f t="shared" si="38"/>
        <v>0</v>
      </c>
      <c r="L389">
        <f t="shared" si="40"/>
        <v>0</v>
      </c>
      <c r="M389">
        <f t="shared" si="41"/>
        <v>0</v>
      </c>
    </row>
    <row r="390" spans="1:13" x14ac:dyDescent="0.25">
      <c r="A390" s="4"/>
      <c r="B390" s="4"/>
      <c r="C390" s="4"/>
      <c r="D390" s="4"/>
      <c r="E390" s="4"/>
      <c r="F390" s="4"/>
      <c r="H390">
        <f t="shared" si="39"/>
        <v>0</v>
      </c>
      <c r="I390">
        <f t="shared" si="36"/>
        <v>0</v>
      </c>
      <c r="J390">
        <f t="shared" si="37"/>
        <v>0</v>
      </c>
      <c r="K390">
        <f t="shared" si="38"/>
        <v>0</v>
      </c>
      <c r="L390">
        <f t="shared" si="40"/>
        <v>0</v>
      </c>
      <c r="M390">
        <f t="shared" si="41"/>
        <v>0</v>
      </c>
    </row>
    <row r="391" spans="1:13" x14ac:dyDescent="0.25">
      <c r="A391" s="4"/>
      <c r="B391" s="4"/>
      <c r="C391" s="4"/>
      <c r="D391" s="4"/>
      <c r="E391" s="4"/>
      <c r="F391" s="4"/>
      <c r="H391">
        <f t="shared" si="39"/>
        <v>0</v>
      </c>
      <c r="I391">
        <f t="shared" si="36"/>
        <v>0</v>
      </c>
      <c r="J391">
        <f t="shared" si="37"/>
        <v>0</v>
      </c>
      <c r="K391">
        <f t="shared" si="38"/>
        <v>0</v>
      </c>
      <c r="L391">
        <f t="shared" si="40"/>
        <v>0</v>
      </c>
      <c r="M391">
        <f t="shared" si="41"/>
        <v>0</v>
      </c>
    </row>
    <row r="392" spans="1:13" x14ac:dyDescent="0.25">
      <c r="A392" s="4"/>
      <c r="B392" s="4"/>
      <c r="C392" s="4"/>
      <c r="D392" s="4"/>
      <c r="E392" s="4"/>
      <c r="F392" s="4"/>
      <c r="H392">
        <f t="shared" si="39"/>
        <v>0</v>
      </c>
      <c r="I392">
        <f t="shared" si="36"/>
        <v>0</v>
      </c>
      <c r="J392">
        <f t="shared" si="37"/>
        <v>0</v>
      </c>
      <c r="K392">
        <f t="shared" si="38"/>
        <v>0</v>
      </c>
      <c r="L392">
        <f t="shared" si="40"/>
        <v>0</v>
      </c>
      <c r="M392">
        <f t="shared" si="41"/>
        <v>0</v>
      </c>
    </row>
    <row r="393" spans="1:13" x14ac:dyDescent="0.25">
      <c r="A393" s="4"/>
      <c r="B393" s="4"/>
      <c r="C393" s="4"/>
      <c r="D393" s="4"/>
      <c r="E393" s="4"/>
      <c r="F393" s="4"/>
      <c r="H393">
        <f t="shared" si="39"/>
        <v>0</v>
      </c>
      <c r="I393">
        <f t="shared" si="36"/>
        <v>0</v>
      </c>
      <c r="J393">
        <f t="shared" si="37"/>
        <v>0</v>
      </c>
      <c r="K393">
        <f t="shared" si="38"/>
        <v>0</v>
      </c>
      <c r="L393">
        <f t="shared" si="40"/>
        <v>0</v>
      </c>
      <c r="M393">
        <f t="shared" si="41"/>
        <v>0</v>
      </c>
    </row>
    <row r="394" spans="1:13" x14ac:dyDescent="0.25">
      <c r="A394" s="4"/>
      <c r="B394" s="4"/>
      <c r="C394" s="4"/>
      <c r="D394" s="4"/>
      <c r="E394" s="4"/>
      <c r="F394" s="4"/>
      <c r="H394">
        <f t="shared" si="39"/>
        <v>0</v>
      </c>
      <c r="I394">
        <f t="shared" si="36"/>
        <v>0</v>
      </c>
      <c r="J394">
        <f t="shared" si="37"/>
        <v>0</v>
      </c>
      <c r="K394">
        <f t="shared" si="38"/>
        <v>0</v>
      </c>
      <c r="L394">
        <f t="shared" si="40"/>
        <v>0</v>
      </c>
      <c r="M394">
        <f t="shared" si="41"/>
        <v>0</v>
      </c>
    </row>
    <row r="395" spans="1:13" x14ac:dyDescent="0.25">
      <c r="A395" s="4"/>
      <c r="B395" s="4"/>
      <c r="C395" s="4"/>
      <c r="D395" s="4"/>
      <c r="E395" s="4"/>
      <c r="F395" s="4"/>
      <c r="H395">
        <f t="shared" si="39"/>
        <v>0</v>
      </c>
      <c r="I395">
        <f t="shared" si="36"/>
        <v>0</v>
      </c>
      <c r="J395">
        <f t="shared" si="37"/>
        <v>0</v>
      </c>
      <c r="K395">
        <f t="shared" si="38"/>
        <v>0</v>
      </c>
      <c r="L395">
        <f t="shared" si="40"/>
        <v>0</v>
      </c>
      <c r="M395">
        <f t="shared" si="41"/>
        <v>0</v>
      </c>
    </row>
    <row r="396" spans="1:13" x14ac:dyDescent="0.25">
      <c r="A396" s="4"/>
      <c r="B396" s="4"/>
      <c r="C396" s="4"/>
      <c r="D396" s="4"/>
      <c r="E396" s="4"/>
      <c r="F396" s="4"/>
      <c r="H396">
        <f t="shared" si="39"/>
        <v>0</v>
      </c>
      <c r="I396">
        <f t="shared" si="36"/>
        <v>0</v>
      </c>
      <c r="J396">
        <f t="shared" si="37"/>
        <v>0</v>
      </c>
      <c r="K396">
        <f t="shared" si="38"/>
        <v>0</v>
      </c>
      <c r="L396">
        <f t="shared" si="40"/>
        <v>0</v>
      </c>
      <c r="M396">
        <f t="shared" si="41"/>
        <v>0</v>
      </c>
    </row>
    <row r="397" spans="1:13" x14ac:dyDescent="0.25">
      <c r="A397" s="4"/>
      <c r="B397" s="4"/>
      <c r="C397" s="4"/>
      <c r="D397" s="4"/>
      <c r="E397" s="4"/>
      <c r="F397" s="4"/>
      <c r="H397">
        <f t="shared" si="39"/>
        <v>0</v>
      </c>
      <c r="I397">
        <f t="shared" si="36"/>
        <v>0</v>
      </c>
      <c r="J397">
        <f t="shared" si="37"/>
        <v>0</v>
      </c>
      <c r="K397">
        <f t="shared" si="38"/>
        <v>0</v>
      </c>
      <c r="L397">
        <f t="shared" si="40"/>
        <v>0</v>
      </c>
      <c r="M397">
        <f t="shared" si="41"/>
        <v>0</v>
      </c>
    </row>
    <row r="398" spans="1:13" x14ac:dyDescent="0.25">
      <c r="A398" s="4"/>
      <c r="B398" s="4"/>
      <c r="C398" s="4"/>
      <c r="D398" s="4"/>
      <c r="E398" s="4"/>
      <c r="F398" s="4"/>
      <c r="H398">
        <f t="shared" si="39"/>
        <v>0</v>
      </c>
      <c r="I398">
        <f t="shared" si="36"/>
        <v>0</v>
      </c>
      <c r="J398">
        <f t="shared" si="37"/>
        <v>0</v>
      </c>
      <c r="K398">
        <f t="shared" si="38"/>
        <v>0</v>
      </c>
      <c r="L398">
        <f t="shared" si="40"/>
        <v>0</v>
      </c>
      <c r="M398">
        <f t="shared" si="41"/>
        <v>0</v>
      </c>
    </row>
    <row r="399" spans="1:13" x14ac:dyDescent="0.25">
      <c r="A399" s="4"/>
      <c r="B399" s="4"/>
      <c r="C399" s="4"/>
      <c r="D399" s="4"/>
      <c r="E399" s="4"/>
      <c r="F399" s="4"/>
      <c r="H399">
        <f t="shared" si="39"/>
        <v>0</v>
      </c>
      <c r="I399">
        <f t="shared" si="36"/>
        <v>0</v>
      </c>
      <c r="J399">
        <f t="shared" si="37"/>
        <v>0</v>
      </c>
      <c r="K399">
        <f t="shared" si="38"/>
        <v>0</v>
      </c>
      <c r="L399">
        <f t="shared" si="40"/>
        <v>0</v>
      </c>
      <c r="M399">
        <f t="shared" si="41"/>
        <v>0</v>
      </c>
    </row>
    <row r="400" spans="1:13" x14ac:dyDescent="0.25">
      <c r="A400" s="4"/>
      <c r="B400" s="4"/>
      <c r="C400" s="4"/>
      <c r="D400" s="4"/>
      <c r="E400" s="4"/>
      <c r="F400" s="4"/>
      <c r="H400">
        <f t="shared" si="39"/>
        <v>0</v>
      </c>
      <c r="I400">
        <f t="shared" si="36"/>
        <v>0</v>
      </c>
      <c r="J400">
        <f t="shared" si="37"/>
        <v>0</v>
      </c>
      <c r="K400">
        <f t="shared" si="38"/>
        <v>0</v>
      </c>
      <c r="L400">
        <f t="shared" si="40"/>
        <v>0</v>
      </c>
      <c r="M400">
        <f t="shared" si="41"/>
        <v>0</v>
      </c>
    </row>
    <row r="401" spans="1:13" x14ac:dyDescent="0.25">
      <c r="A401" s="4"/>
      <c r="B401" s="4"/>
      <c r="C401" s="4"/>
      <c r="D401" s="4"/>
      <c r="E401" s="4"/>
      <c r="F401" s="4"/>
      <c r="H401">
        <f t="shared" si="39"/>
        <v>0</v>
      </c>
      <c r="I401">
        <f t="shared" si="36"/>
        <v>0</v>
      </c>
      <c r="J401">
        <f t="shared" si="37"/>
        <v>0</v>
      </c>
      <c r="K401">
        <f t="shared" si="38"/>
        <v>0</v>
      </c>
      <c r="L401">
        <f t="shared" si="40"/>
        <v>0</v>
      </c>
      <c r="M401">
        <f t="shared" si="41"/>
        <v>0</v>
      </c>
    </row>
    <row r="402" spans="1:13" x14ac:dyDescent="0.25">
      <c r="A402" s="4"/>
      <c r="B402" s="4"/>
      <c r="C402" s="4"/>
      <c r="D402" s="4"/>
      <c r="E402" s="4"/>
      <c r="F402" s="4"/>
      <c r="H402">
        <f t="shared" si="39"/>
        <v>0</v>
      </c>
      <c r="I402">
        <f t="shared" si="36"/>
        <v>0</v>
      </c>
      <c r="J402">
        <f t="shared" si="37"/>
        <v>0</v>
      </c>
      <c r="K402">
        <f t="shared" si="38"/>
        <v>0</v>
      </c>
      <c r="L402">
        <f t="shared" si="40"/>
        <v>0</v>
      </c>
      <c r="M402">
        <f t="shared" si="41"/>
        <v>0</v>
      </c>
    </row>
    <row r="403" spans="1:13" x14ac:dyDescent="0.25">
      <c r="A403" s="4"/>
      <c r="B403" s="4"/>
      <c r="C403" s="4"/>
      <c r="D403" s="4"/>
      <c r="E403" s="4"/>
      <c r="F403" s="4"/>
      <c r="H403">
        <f t="shared" si="39"/>
        <v>0</v>
      </c>
      <c r="I403">
        <f t="shared" si="36"/>
        <v>0</v>
      </c>
      <c r="J403">
        <f t="shared" si="37"/>
        <v>0</v>
      </c>
      <c r="K403">
        <f t="shared" si="38"/>
        <v>0</v>
      </c>
      <c r="L403">
        <f t="shared" si="40"/>
        <v>0</v>
      </c>
      <c r="M403">
        <f t="shared" si="41"/>
        <v>0</v>
      </c>
    </row>
    <row r="404" spans="1:13" x14ac:dyDescent="0.25">
      <c r="A404" s="4"/>
      <c r="B404" s="4"/>
      <c r="C404" s="4"/>
      <c r="D404" s="4"/>
      <c r="E404" s="4"/>
      <c r="F404" s="4"/>
      <c r="H404">
        <f t="shared" si="39"/>
        <v>0</v>
      </c>
      <c r="I404">
        <f t="shared" si="36"/>
        <v>0</v>
      </c>
      <c r="J404">
        <f t="shared" si="37"/>
        <v>0</v>
      </c>
      <c r="K404">
        <f t="shared" si="38"/>
        <v>0</v>
      </c>
      <c r="L404">
        <f t="shared" si="40"/>
        <v>0</v>
      </c>
      <c r="M404">
        <f t="shared" si="41"/>
        <v>0</v>
      </c>
    </row>
    <row r="405" spans="1:13" x14ac:dyDescent="0.25">
      <c r="A405" s="4"/>
      <c r="B405" s="4"/>
      <c r="C405" s="4"/>
      <c r="D405" s="4"/>
      <c r="E405" s="4"/>
      <c r="F405" s="4"/>
      <c r="H405">
        <f t="shared" si="39"/>
        <v>0</v>
      </c>
      <c r="I405">
        <f t="shared" si="36"/>
        <v>0</v>
      </c>
      <c r="J405">
        <f t="shared" si="37"/>
        <v>0</v>
      </c>
      <c r="K405">
        <f t="shared" si="38"/>
        <v>0</v>
      </c>
      <c r="L405">
        <f t="shared" si="40"/>
        <v>0</v>
      </c>
      <c r="M405">
        <f t="shared" si="41"/>
        <v>0</v>
      </c>
    </row>
    <row r="406" spans="1:13" x14ac:dyDescent="0.25">
      <c r="A406" s="4"/>
      <c r="B406" s="4"/>
      <c r="C406" s="4"/>
      <c r="D406" s="4"/>
      <c r="E406" s="4"/>
      <c r="F406" s="4"/>
      <c r="H406">
        <f t="shared" si="39"/>
        <v>0</v>
      </c>
      <c r="I406">
        <f t="shared" si="36"/>
        <v>0</v>
      </c>
      <c r="J406">
        <f t="shared" si="37"/>
        <v>0</v>
      </c>
      <c r="K406">
        <f t="shared" si="38"/>
        <v>0</v>
      </c>
      <c r="L406">
        <f t="shared" si="40"/>
        <v>0</v>
      </c>
      <c r="M406">
        <f t="shared" si="41"/>
        <v>0</v>
      </c>
    </row>
    <row r="407" spans="1:13" x14ac:dyDescent="0.25">
      <c r="A407" s="4"/>
      <c r="B407" s="4"/>
      <c r="C407" s="4"/>
      <c r="D407" s="4"/>
      <c r="E407" s="4"/>
      <c r="F407" s="4"/>
      <c r="H407">
        <f t="shared" si="39"/>
        <v>0</v>
      </c>
      <c r="I407">
        <f t="shared" si="36"/>
        <v>0</v>
      </c>
      <c r="J407">
        <f t="shared" si="37"/>
        <v>0</v>
      </c>
      <c r="K407">
        <f t="shared" si="38"/>
        <v>0</v>
      </c>
      <c r="L407">
        <f t="shared" si="40"/>
        <v>0</v>
      </c>
      <c r="M407">
        <f t="shared" si="41"/>
        <v>0</v>
      </c>
    </row>
    <row r="408" spans="1:13" x14ac:dyDescent="0.25">
      <c r="A408" s="4"/>
      <c r="B408" s="4"/>
      <c r="C408" s="4"/>
      <c r="D408" s="4"/>
      <c r="E408" s="4"/>
      <c r="F408" s="4"/>
      <c r="H408">
        <f t="shared" si="39"/>
        <v>0</v>
      </c>
      <c r="I408">
        <f t="shared" si="36"/>
        <v>0</v>
      </c>
      <c r="J408">
        <f t="shared" si="37"/>
        <v>0</v>
      </c>
      <c r="K408">
        <f t="shared" si="38"/>
        <v>0</v>
      </c>
      <c r="L408">
        <f t="shared" si="40"/>
        <v>0</v>
      </c>
      <c r="M408">
        <f t="shared" si="41"/>
        <v>0</v>
      </c>
    </row>
    <row r="409" spans="1:13" x14ac:dyDescent="0.25">
      <c r="A409" s="4"/>
      <c r="B409" s="4"/>
      <c r="C409" s="4"/>
      <c r="D409" s="4"/>
      <c r="E409" s="4"/>
      <c r="F409" s="4"/>
      <c r="H409">
        <f t="shared" si="39"/>
        <v>0</v>
      </c>
      <c r="I409">
        <f t="shared" si="36"/>
        <v>0</v>
      </c>
      <c r="J409">
        <f t="shared" si="37"/>
        <v>0</v>
      </c>
      <c r="K409">
        <f t="shared" si="38"/>
        <v>0</v>
      </c>
      <c r="L409">
        <f t="shared" si="40"/>
        <v>0</v>
      </c>
      <c r="M409">
        <f t="shared" si="41"/>
        <v>0</v>
      </c>
    </row>
    <row r="410" spans="1:13" x14ac:dyDescent="0.25">
      <c r="A410" s="4"/>
      <c r="B410" s="4"/>
      <c r="C410" s="4"/>
      <c r="D410" s="4"/>
      <c r="E410" s="4"/>
      <c r="F410" s="4"/>
      <c r="H410">
        <f t="shared" si="39"/>
        <v>0</v>
      </c>
      <c r="I410">
        <f t="shared" si="36"/>
        <v>0</v>
      </c>
      <c r="J410">
        <f t="shared" si="37"/>
        <v>0</v>
      </c>
      <c r="K410">
        <f t="shared" si="38"/>
        <v>0</v>
      </c>
      <c r="L410">
        <f t="shared" si="40"/>
        <v>0</v>
      </c>
      <c r="M410">
        <f t="shared" si="41"/>
        <v>0</v>
      </c>
    </row>
    <row r="411" spans="1:13" x14ac:dyDescent="0.25">
      <c r="A411" s="4"/>
      <c r="B411" s="4"/>
      <c r="C411" s="4"/>
      <c r="D411" s="4"/>
      <c r="E411" s="4"/>
      <c r="F411" s="4"/>
      <c r="H411">
        <f t="shared" si="39"/>
        <v>0</v>
      </c>
      <c r="I411">
        <f t="shared" si="36"/>
        <v>0</v>
      </c>
      <c r="J411">
        <f t="shared" si="37"/>
        <v>0</v>
      </c>
      <c r="K411">
        <f t="shared" si="38"/>
        <v>0</v>
      </c>
      <c r="L411">
        <f t="shared" si="40"/>
        <v>0</v>
      </c>
      <c r="M411">
        <f t="shared" si="41"/>
        <v>0</v>
      </c>
    </row>
    <row r="412" spans="1:13" x14ac:dyDescent="0.25">
      <c r="A412" s="4"/>
      <c r="B412" s="4"/>
      <c r="C412" s="4"/>
      <c r="D412" s="4"/>
      <c r="E412" s="4"/>
      <c r="F412" s="4"/>
      <c r="H412">
        <f t="shared" si="39"/>
        <v>0</v>
      </c>
      <c r="I412">
        <f t="shared" si="36"/>
        <v>0</v>
      </c>
      <c r="J412">
        <f t="shared" si="37"/>
        <v>0</v>
      </c>
      <c r="K412">
        <f t="shared" si="38"/>
        <v>0</v>
      </c>
      <c r="L412">
        <f t="shared" si="40"/>
        <v>0</v>
      </c>
      <c r="M412">
        <f t="shared" si="41"/>
        <v>0</v>
      </c>
    </row>
    <row r="413" spans="1:13" x14ac:dyDescent="0.25">
      <c r="A413" s="4"/>
      <c r="B413" s="4"/>
      <c r="C413" s="4"/>
      <c r="D413" s="4"/>
      <c r="E413" s="4"/>
      <c r="F413" s="4"/>
      <c r="H413">
        <f t="shared" si="39"/>
        <v>0</v>
      </c>
      <c r="I413">
        <f t="shared" si="36"/>
        <v>0</v>
      </c>
      <c r="J413">
        <f t="shared" si="37"/>
        <v>0</v>
      </c>
      <c r="K413">
        <f t="shared" si="38"/>
        <v>0</v>
      </c>
      <c r="L413">
        <f t="shared" si="40"/>
        <v>0</v>
      </c>
      <c r="M413">
        <f t="shared" si="41"/>
        <v>0</v>
      </c>
    </row>
    <row r="414" spans="1:13" x14ac:dyDescent="0.25">
      <c r="A414" s="4"/>
      <c r="B414" s="4"/>
      <c r="C414" s="4"/>
      <c r="D414" s="4"/>
      <c r="E414" s="4"/>
      <c r="F414" s="4"/>
      <c r="H414">
        <f t="shared" si="39"/>
        <v>0</v>
      </c>
      <c r="I414">
        <f t="shared" si="36"/>
        <v>0</v>
      </c>
      <c r="J414">
        <f t="shared" si="37"/>
        <v>0</v>
      </c>
      <c r="K414">
        <f t="shared" si="38"/>
        <v>0</v>
      </c>
      <c r="L414">
        <f t="shared" si="40"/>
        <v>0</v>
      </c>
      <c r="M414">
        <f t="shared" si="41"/>
        <v>0</v>
      </c>
    </row>
    <row r="415" spans="1:13" x14ac:dyDescent="0.25">
      <c r="A415" s="4"/>
      <c r="B415" s="4"/>
      <c r="C415" s="4"/>
      <c r="D415" s="4"/>
      <c r="E415" s="4"/>
      <c r="F415" s="4"/>
      <c r="H415">
        <f t="shared" si="39"/>
        <v>0</v>
      </c>
      <c r="I415">
        <f t="shared" si="36"/>
        <v>0</v>
      </c>
      <c r="J415">
        <f t="shared" si="37"/>
        <v>0</v>
      </c>
      <c r="K415">
        <f t="shared" si="38"/>
        <v>0</v>
      </c>
      <c r="L415">
        <f t="shared" si="40"/>
        <v>0</v>
      </c>
      <c r="M415">
        <f t="shared" si="41"/>
        <v>0</v>
      </c>
    </row>
    <row r="416" spans="1:13" x14ac:dyDescent="0.25">
      <c r="A416" s="4"/>
      <c r="B416" s="4"/>
      <c r="C416" s="4"/>
      <c r="D416" s="4"/>
      <c r="E416" s="4"/>
      <c r="F416" s="4"/>
      <c r="H416">
        <f t="shared" si="39"/>
        <v>0</v>
      </c>
      <c r="I416">
        <f t="shared" si="36"/>
        <v>0</v>
      </c>
      <c r="J416">
        <f t="shared" si="37"/>
        <v>0</v>
      </c>
      <c r="K416">
        <f t="shared" si="38"/>
        <v>0</v>
      </c>
      <c r="L416">
        <f t="shared" si="40"/>
        <v>0</v>
      </c>
      <c r="M416">
        <f t="shared" si="41"/>
        <v>0</v>
      </c>
    </row>
    <row r="417" spans="1:13" x14ac:dyDescent="0.25">
      <c r="A417" s="4"/>
      <c r="B417" s="4"/>
      <c r="C417" s="4"/>
      <c r="D417" s="4"/>
      <c r="E417" s="4"/>
      <c r="F417" s="4"/>
      <c r="H417">
        <f t="shared" si="39"/>
        <v>0</v>
      </c>
      <c r="I417">
        <f t="shared" si="36"/>
        <v>0</v>
      </c>
      <c r="J417">
        <f t="shared" si="37"/>
        <v>0</v>
      </c>
      <c r="K417">
        <f t="shared" si="38"/>
        <v>0</v>
      </c>
      <c r="L417">
        <f t="shared" si="40"/>
        <v>0</v>
      </c>
      <c r="M417">
        <f t="shared" si="41"/>
        <v>0</v>
      </c>
    </row>
    <row r="418" spans="1:13" x14ac:dyDescent="0.25">
      <c r="A418" s="4"/>
      <c r="B418" s="4"/>
      <c r="C418" s="4"/>
      <c r="D418" s="4"/>
      <c r="E418" s="4"/>
      <c r="F418" s="4"/>
      <c r="H418">
        <f t="shared" si="39"/>
        <v>0</v>
      </c>
      <c r="I418">
        <f t="shared" si="36"/>
        <v>0</v>
      </c>
      <c r="J418">
        <f t="shared" si="37"/>
        <v>0</v>
      </c>
      <c r="K418">
        <f t="shared" si="38"/>
        <v>0</v>
      </c>
      <c r="L418">
        <f t="shared" si="40"/>
        <v>0</v>
      </c>
      <c r="M418">
        <f t="shared" si="41"/>
        <v>0</v>
      </c>
    </row>
    <row r="419" spans="1:13" x14ac:dyDescent="0.25">
      <c r="A419" s="4"/>
      <c r="B419" s="4"/>
      <c r="C419" s="4"/>
      <c r="D419" s="4"/>
      <c r="E419" s="4"/>
      <c r="F419" s="4"/>
      <c r="H419">
        <f t="shared" si="39"/>
        <v>0</v>
      </c>
      <c r="I419">
        <f t="shared" si="36"/>
        <v>0</v>
      </c>
      <c r="J419">
        <f t="shared" si="37"/>
        <v>0</v>
      </c>
      <c r="K419">
        <f t="shared" si="38"/>
        <v>0</v>
      </c>
      <c r="L419">
        <f t="shared" si="40"/>
        <v>0</v>
      </c>
      <c r="M419">
        <f t="shared" si="41"/>
        <v>0</v>
      </c>
    </row>
    <row r="420" spans="1:13" x14ac:dyDescent="0.25">
      <c r="A420" s="4"/>
      <c r="B420" s="4"/>
      <c r="C420" s="4"/>
      <c r="D420" s="4"/>
      <c r="E420" s="4"/>
      <c r="F420" s="4"/>
      <c r="H420">
        <f t="shared" si="39"/>
        <v>0</v>
      </c>
      <c r="I420">
        <f t="shared" si="36"/>
        <v>0</v>
      </c>
      <c r="J420">
        <f t="shared" si="37"/>
        <v>0</v>
      </c>
      <c r="K420">
        <f t="shared" si="38"/>
        <v>0</v>
      </c>
      <c r="L420">
        <f t="shared" si="40"/>
        <v>0</v>
      </c>
      <c r="M420">
        <f t="shared" si="41"/>
        <v>0</v>
      </c>
    </row>
    <row r="421" spans="1:13" x14ac:dyDescent="0.25">
      <c r="A421" s="4"/>
      <c r="B421" s="4"/>
      <c r="C421" s="4"/>
      <c r="D421" s="4"/>
      <c r="E421" s="4"/>
      <c r="F421" s="4"/>
      <c r="H421">
        <f t="shared" si="39"/>
        <v>0</v>
      </c>
      <c r="I421">
        <f t="shared" si="36"/>
        <v>0</v>
      </c>
      <c r="J421">
        <f t="shared" si="37"/>
        <v>0</v>
      </c>
      <c r="K421">
        <f t="shared" si="38"/>
        <v>0</v>
      </c>
      <c r="L421">
        <f t="shared" si="40"/>
        <v>0</v>
      </c>
      <c r="M421">
        <f t="shared" si="41"/>
        <v>0</v>
      </c>
    </row>
    <row r="422" spans="1:13" x14ac:dyDescent="0.25">
      <c r="A422" s="4"/>
      <c r="B422" s="4"/>
      <c r="C422" s="4"/>
      <c r="D422" s="4"/>
      <c r="E422" s="4"/>
      <c r="F422" s="4"/>
      <c r="H422">
        <f t="shared" si="39"/>
        <v>0</v>
      </c>
      <c r="I422">
        <f t="shared" si="36"/>
        <v>0</v>
      </c>
      <c r="J422">
        <f t="shared" si="37"/>
        <v>0</v>
      </c>
      <c r="K422">
        <f t="shared" si="38"/>
        <v>0</v>
      </c>
      <c r="L422">
        <f t="shared" si="40"/>
        <v>0</v>
      </c>
      <c r="M422">
        <f t="shared" si="41"/>
        <v>0</v>
      </c>
    </row>
    <row r="423" spans="1:13" x14ac:dyDescent="0.25">
      <c r="A423" s="4"/>
      <c r="B423" s="4"/>
      <c r="C423" s="4"/>
      <c r="D423" s="4"/>
      <c r="E423" s="4"/>
      <c r="F423" s="4"/>
      <c r="H423">
        <f t="shared" si="39"/>
        <v>0</v>
      </c>
      <c r="I423">
        <f t="shared" si="36"/>
        <v>0</v>
      </c>
      <c r="J423">
        <f t="shared" si="37"/>
        <v>0</v>
      </c>
      <c r="K423">
        <f t="shared" si="38"/>
        <v>0</v>
      </c>
      <c r="L423">
        <f t="shared" si="40"/>
        <v>0</v>
      </c>
      <c r="M423">
        <f t="shared" si="41"/>
        <v>0</v>
      </c>
    </row>
    <row r="424" spans="1:13" x14ac:dyDescent="0.25">
      <c r="A424" s="4"/>
      <c r="B424" s="4"/>
      <c r="C424" s="4"/>
      <c r="D424" s="4"/>
      <c r="E424" s="4"/>
      <c r="F424" s="4"/>
      <c r="H424">
        <f t="shared" si="39"/>
        <v>0</v>
      </c>
      <c r="I424">
        <f t="shared" si="36"/>
        <v>0</v>
      </c>
      <c r="J424">
        <f t="shared" si="37"/>
        <v>0</v>
      </c>
      <c r="K424">
        <f t="shared" si="38"/>
        <v>0</v>
      </c>
      <c r="L424">
        <f t="shared" si="40"/>
        <v>0</v>
      </c>
      <c r="M424">
        <f t="shared" si="41"/>
        <v>0</v>
      </c>
    </row>
    <row r="425" spans="1:13" x14ac:dyDescent="0.25">
      <c r="A425" s="4"/>
      <c r="B425" s="4"/>
      <c r="C425" s="4"/>
      <c r="D425" s="4"/>
      <c r="E425" s="4"/>
      <c r="F425" s="4"/>
      <c r="H425">
        <f t="shared" si="39"/>
        <v>0</v>
      </c>
      <c r="I425">
        <f t="shared" si="36"/>
        <v>0</v>
      </c>
      <c r="J425">
        <f t="shared" si="37"/>
        <v>0</v>
      </c>
      <c r="K425">
        <f t="shared" si="38"/>
        <v>0</v>
      </c>
      <c r="L425">
        <f t="shared" si="40"/>
        <v>0</v>
      </c>
      <c r="M425">
        <f t="shared" si="41"/>
        <v>0</v>
      </c>
    </row>
    <row r="426" spans="1:13" x14ac:dyDescent="0.25">
      <c r="A426" s="4"/>
      <c r="B426" s="4"/>
      <c r="C426" s="4"/>
      <c r="D426" s="4"/>
      <c r="E426" s="4"/>
      <c r="F426" s="4"/>
      <c r="H426">
        <f t="shared" si="39"/>
        <v>0</v>
      </c>
      <c r="I426">
        <f t="shared" si="36"/>
        <v>0</v>
      </c>
      <c r="J426">
        <f t="shared" si="37"/>
        <v>0</v>
      </c>
      <c r="K426">
        <f t="shared" si="38"/>
        <v>0</v>
      </c>
      <c r="L426">
        <f t="shared" si="40"/>
        <v>0</v>
      </c>
      <c r="M426">
        <f t="shared" si="41"/>
        <v>0</v>
      </c>
    </row>
    <row r="427" spans="1:13" x14ac:dyDescent="0.25">
      <c r="A427" s="4"/>
      <c r="B427" s="4"/>
      <c r="C427" s="4"/>
      <c r="D427" s="4"/>
      <c r="E427" s="4"/>
      <c r="F427" s="4"/>
      <c r="H427">
        <f t="shared" si="39"/>
        <v>0</v>
      </c>
      <c r="I427">
        <f t="shared" si="36"/>
        <v>0</v>
      </c>
      <c r="J427">
        <f t="shared" si="37"/>
        <v>0</v>
      </c>
      <c r="K427">
        <f t="shared" si="38"/>
        <v>0</v>
      </c>
      <c r="L427">
        <f t="shared" si="40"/>
        <v>0</v>
      </c>
      <c r="M427">
        <f t="shared" si="41"/>
        <v>0</v>
      </c>
    </row>
    <row r="428" spans="1:13" x14ac:dyDescent="0.25">
      <c r="A428" s="4"/>
      <c r="B428" s="4"/>
      <c r="C428" s="4"/>
      <c r="D428" s="4"/>
      <c r="E428" s="4"/>
      <c r="F428" s="4"/>
      <c r="H428">
        <f t="shared" si="39"/>
        <v>0</v>
      </c>
      <c r="I428">
        <f t="shared" si="36"/>
        <v>0</v>
      </c>
      <c r="J428">
        <f t="shared" si="37"/>
        <v>0</v>
      </c>
      <c r="K428">
        <f t="shared" si="38"/>
        <v>0</v>
      </c>
      <c r="L428">
        <f t="shared" si="40"/>
        <v>0</v>
      </c>
      <c r="M428">
        <f t="shared" si="41"/>
        <v>0</v>
      </c>
    </row>
    <row r="429" spans="1:13" x14ac:dyDescent="0.25">
      <c r="A429" s="4"/>
      <c r="B429" s="4"/>
      <c r="C429" s="4"/>
      <c r="D429" s="4"/>
      <c r="E429" s="4"/>
      <c r="F429" s="4"/>
      <c r="H429">
        <f t="shared" si="39"/>
        <v>0</v>
      </c>
      <c r="I429">
        <f t="shared" si="36"/>
        <v>0</v>
      </c>
      <c r="J429">
        <f t="shared" si="37"/>
        <v>0</v>
      </c>
      <c r="K429">
        <f t="shared" si="38"/>
        <v>0</v>
      </c>
      <c r="L429">
        <f t="shared" si="40"/>
        <v>0</v>
      </c>
      <c r="M429">
        <f t="shared" si="41"/>
        <v>0</v>
      </c>
    </row>
    <row r="430" spans="1:13" x14ac:dyDescent="0.25">
      <c r="A430" s="4"/>
      <c r="B430" s="4"/>
      <c r="C430" s="4"/>
      <c r="D430" s="4"/>
      <c r="E430" s="4"/>
      <c r="F430" s="4"/>
      <c r="H430">
        <f t="shared" si="39"/>
        <v>0</v>
      </c>
      <c r="I430">
        <f t="shared" si="36"/>
        <v>0</v>
      </c>
      <c r="J430">
        <f t="shared" si="37"/>
        <v>0</v>
      </c>
      <c r="K430">
        <f t="shared" si="38"/>
        <v>0</v>
      </c>
      <c r="L430">
        <f t="shared" si="40"/>
        <v>0</v>
      </c>
      <c r="M430">
        <f t="shared" si="41"/>
        <v>0</v>
      </c>
    </row>
    <row r="431" spans="1:13" x14ac:dyDescent="0.25">
      <c r="A431" s="4"/>
      <c r="B431" s="4"/>
      <c r="C431" s="4"/>
      <c r="D431" s="4"/>
      <c r="E431" s="4"/>
      <c r="F431" s="4"/>
      <c r="H431">
        <f t="shared" si="39"/>
        <v>0</v>
      </c>
      <c r="I431">
        <f t="shared" si="36"/>
        <v>0</v>
      </c>
      <c r="J431">
        <f t="shared" si="37"/>
        <v>0</v>
      </c>
      <c r="K431">
        <f t="shared" si="38"/>
        <v>0</v>
      </c>
      <c r="L431">
        <f t="shared" si="40"/>
        <v>0</v>
      </c>
      <c r="M431">
        <f t="shared" si="41"/>
        <v>0</v>
      </c>
    </row>
    <row r="432" spans="1:13" x14ac:dyDescent="0.25">
      <c r="A432" s="4"/>
      <c r="B432" s="4"/>
      <c r="C432" s="4"/>
      <c r="D432" s="4"/>
      <c r="E432" s="4"/>
      <c r="F432" s="4"/>
      <c r="H432">
        <f t="shared" si="39"/>
        <v>0</v>
      </c>
      <c r="I432">
        <f t="shared" si="36"/>
        <v>0</v>
      </c>
      <c r="J432">
        <f t="shared" si="37"/>
        <v>0</v>
      </c>
      <c r="K432">
        <f t="shared" si="38"/>
        <v>0</v>
      </c>
      <c r="L432">
        <f t="shared" si="40"/>
        <v>0</v>
      </c>
      <c r="M432">
        <f t="shared" si="41"/>
        <v>0</v>
      </c>
    </row>
    <row r="433" spans="1:13" x14ac:dyDescent="0.25">
      <c r="A433" s="4"/>
      <c r="B433" s="4"/>
      <c r="C433" s="4"/>
      <c r="D433" s="4"/>
      <c r="E433" s="4"/>
      <c r="F433" s="4"/>
      <c r="H433">
        <f t="shared" si="39"/>
        <v>0</v>
      </c>
      <c r="I433">
        <f t="shared" si="36"/>
        <v>0</v>
      </c>
      <c r="J433">
        <f t="shared" si="37"/>
        <v>0</v>
      </c>
      <c r="K433">
        <f t="shared" si="38"/>
        <v>0</v>
      </c>
      <c r="L433">
        <f t="shared" si="40"/>
        <v>0</v>
      </c>
      <c r="M433">
        <f t="shared" si="41"/>
        <v>0</v>
      </c>
    </row>
    <row r="434" spans="1:13" x14ac:dyDescent="0.25">
      <c r="A434" s="4"/>
      <c r="B434" s="4"/>
      <c r="C434" s="4"/>
      <c r="D434" s="4"/>
      <c r="E434" s="4"/>
      <c r="F434" s="4"/>
      <c r="H434">
        <f t="shared" si="39"/>
        <v>0</v>
      </c>
      <c r="I434">
        <f t="shared" si="36"/>
        <v>0</v>
      </c>
      <c r="J434">
        <f t="shared" si="37"/>
        <v>0</v>
      </c>
      <c r="K434">
        <f t="shared" si="38"/>
        <v>0</v>
      </c>
      <c r="L434">
        <f t="shared" si="40"/>
        <v>0</v>
      </c>
      <c r="M434">
        <f t="shared" si="41"/>
        <v>0</v>
      </c>
    </row>
    <row r="435" spans="1:13" x14ac:dyDescent="0.25">
      <c r="A435" s="4"/>
      <c r="B435" s="4"/>
      <c r="C435" s="4"/>
      <c r="D435" s="4"/>
      <c r="E435" s="4"/>
      <c r="F435" s="4"/>
      <c r="H435">
        <f t="shared" si="39"/>
        <v>0</v>
      </c>
      <c r="I435">
        <f t="shared" si="36"/>
        <v>0</v>
      </c>
      <c r="J435">
        <f t="shared" si="37"/>
        <v>0</v>
      </c>
      <c r="K435">
        <f t="shared" si="38"/>
        <v>0</v>
      </c>
      <c r="L435">
        <f t="shared" si="40"/>
        <v>0</v>
      </c>
      <c r="M435">
        <f t="shared" si="41"/>
        <v>0</v>
      </c>
    </row>
    <row r="436" spans="1:13" x14ac:dyDescent="0.25">
      <c r="A436" s="4"/>
      <c r="B436" s="4"/>
      <c r="C436" s="4"/>
      <c r="D436" s="4"/>
      <c r="E436" s="4"/>
      <c r="F436" s="4"/>
      <c r="H436">
        <f t="shared" si="39"/>
        <v>0</v>
      </c>
      <c r="I436">
        <f t="shared" si="36"/>
        <v>0</v>
      </c>
      <c r="J436">
        <f t="shared" si="37"/>
        <v>0</v>
      </c>
      <c r="K436">
        <f t="shared" si="38"/>
        <v>0</v>
      </c>
      <c r="L436">
        <f t="shared" si="40"/>
        <v>0</v>
      </c>
      <c r="M436">
        <f t="shared" si="41"/>
        <v>0</v>
      </c>
    </row>
    <row r="437" spans="1:13" x14ac:dyDescent="0.25">
      <c r="A437" s="4"/>
      <c r="B437" s="4"/>
      <c r="C437" s="4"/>
      <c r="D437" s="4"/>
      <c r="E437" s="4"/>
      <c r="F437" s="4"/>
      <c r="H437">
        <f t="shared" si="39"/>
        <v>0</v>
      </c>
      <c r="I437">
        <f t="shared" si="36"/>
        <v>0</v>
      </c>
      <c r="J437">
        <f t="shared" si="37"/>
        <v>0</v>
      </c>
      <c r="K437">
        <f t="shared" si="38"/>
        <v>0</v>
      </c>
      <c r="L437">
        <f t="shared" si="40"/>
        <v>0</v>
      </c>
      <c r="M437">
        <f t="shared" si="41"/>
        <v>0</v>
      </c>
    </row>
    <row r="438" spans="1:13" x14ac:dyDescent="0.25">
      <c r="A438" s="4"/>
      <c r="B438" s="4"/>
      <c r="C438" s="4"/>
      <c r="D438" s="4"/>
      <c r="E438" s="4"/>
      <c r="F438" s="4"/>
      <c r="H438">
        <f t="shared" si="39"/>
        <v>0</v>
      </c>
      <c r="I438">
        <f t="shared" si="36"/>
        <v>0</v>
      </c>
      <c r="J438">
        <f t="shared" si="37"/>
        <v>0</v>
      </c>
      <c r="K438">
        <f t="shared" si="38"/>
        <v>0</v>
      </c>
      <c r="L438">
        <f t="shared" si="40"/>
        <v>0</v>
      </c>
      <c r="M438">
        <f t="shared" si="41"/>
        <v>0</v>
      </c>
    </row>
    <row r="439" spans="1:13" x14ac:dyDescent="0.25">
      <c r="A439" s="4"/>
      <c r="B439" s="4"/>
      <c r="C439" s="4"/>
      <c r="D439" s="4"/>
      <c r="E439" s="4"/>
      <c r="F439" s="4"/>
      <c r="H439">
        <f t="shared" si="39"/>
        <v>0</v>
      </c>
      <c r="I439">
        <f t="shared" si="36"/>
        <v>0</v>
      </c>
      <c r="J439">
        <f t="shared" si="37"/>
        <v>0</v>
      </c>
      <c r="K439">
        <f t="shared" si="38"/>
        <v>0</v>
      </c>
      <c r="L439">
        <f t="shared" si="40"/>
        <v>0</v>
      </c>
      <c r="M439">
        <f t="shared" si="41"/>
        <v>0</v>
      </c>
    </row>
    <row r="440" spans="1:13" x14ac:dyDescent="0.25">
      <c r="A440" s="4"/>
      <c r="B440" s="4"/>
      <c r="C440" s="4"/>
      <c r="D440" s="4"/>
      <c r="E440" s="4"/>
      <c r="F440" s="4"/>
      <c r="H440">
        <f t="shared" si="39"/>
        <v>0</v>
      </c>
      <c r="I440">
        <f t="shared" si="36"/>
        <v>0</v>
      </c>
      <c r="J440">
        <f t="shared" si="37"/>
        <v>0</v>
      </c>
      <c r="K440">
        <f t="shared" si="38"/>
        <v>0</v>
      </c>
      <c r="L440">
        <f t="shared" si="40"/>
        <v>0</v>
      </c>
      <c r="M440">
        <f t="shared" si="41"/>
        <v>0</v>
      </c>
    </row>
    <row r="441" spans="1:13" x14ac:dyDescent="0.25">
      <c r="A441" s="4"/>
      <c r="B441" s="4"/>
      <c r="C441" s="4"/>
      <c r="D441" s="4"/>
      <c r="E441" s="4"/>
      <c r="F441" s="4"/>
      <c r="H441">
        <f t="shared" si="39"/>
        <v>0</v>
      </c>
      <c r="I441">
        <f t="shared" si="36"/>
        <v>0</v>
      </c>
      <c r="J441">
        <f t="shared" si="37"/>
        <v>0</v>
      </c>
      <c r="K441">
        <f t="shared" si="38"/>
        <v>0</v>
      </c>
      <c r="L441">
        <f t="shared" si="40"/>
        <v>0</v>
      </c>
      <c r="M441">
        <f t="shared" si="41"/>
        <v>0</v>
      </c>
    </row>
    <row r="442" spans="1:13" x14ac:dyDescent="0.25">
      <c r="A442" s="4"/>
      <c r="B442" s="4"/>
      <c r="C442" s="4"/>
      <c r="D442" s="4"/>
      <c r="E442" s="4"/>
      <c r="F442" s="4"/>
      <c r="H442">
        <f t="shared" si="39"/>
        <v>0</v>
      </c>
      <c r="I442">
        <f t="shared" si="36"/>
        <v>0</v>
      </c>
      <c r="J442">
        <f t="shared" si="37"/>
        <v>0</v>
      </c>
      <c r="K442">
        <f t="shared" si="38"/>
        <v>0</v>
      </c>
      <c r="L442">
        <f t="shared" si="40"/>
        <v>0</v>
      </c>
      <c r="M442">
        <f t="shared" si="41"/>
        <v>0</v>
      </c>
    </row>
    <row r="443" spans="1:13" x14ac:dyDescent="0.25">
      <c r="A443" s="4"/>
      <c r="B443" s="4"/>
      <c r="C443" s="4"/>
      <c r="D443" s="4"/>
      <c r="E443" s="4"/>
      <c r="F443" s="4"/>
      <c r="H443">
        <f t="shared" si="39"/>
        <v>0</v>
      </c>
      <c r="I443">
        <f t="shared" si="36"/>
        <v>0</v>
      </c>
      <c r="J443">
        <f t="shared" si="37"/>
        <v>0</v>
      </c>
      <c r="K443">
        <f t="shared" si="38"/>
        <v>0</v>
      </c>
      <c r="L443">
        <f t="shared" si="40"/>
        <v>0</v>
      </c>
      <c r="M443">
        <f t="shared" si="41"/>
        <v>0</v>
      </c>
    </row>
    <row r="444" spans="1:13" x14ac:dyDescent="0.25">
      <c r="A444" s="4"/>
      <c r="B444" s="4"/>
      <c r="C444" s="4"/>
      <c r="D444" s="4"/>
      <c r="E444" s="4"/>
      <c r="F444" s="4"/>
      <c r="H444">
        <f t="shared" si="39"/>
        <v>0</v>
      </c>
      <c r="I444">
        <f t="shared" si="36"/>
        <v>0</v>
      </c>
      <c r="J444">
        <f t="shared" si="37"/>
        <v>0</v>
      </c>
      <c r="K444">
        <f t="shared" si="38"/>
        <v>0</v>
      </c>
      <c r="L444">
        <f t="shared" si="40"/>
        <v>0</v>
      </c>
      <c r="M444">
        <f t="shared" si="41"/>
        <v>0</v>
      </c>
    </row>
    <row r="445" spans="1:13" x14ac:dyDescent="0.25">
      <c r="A445" s="4"/>
      <c r="B445" s="4"/>
      <c r="C445" s="4"/>
      <c r="D445" s="4"/>
      <c r="E445" s="4"/>
      <c r="F445" s="4"/>
      <c r="H445">
        <f t="shared" si="39"/>
        <v>0</v>
      </c>
      <c r="I445">
        <f t="shared" si="36"/>
        <v>0</v>
      </c>
      <c r="J445">
        <f t="shared" si="37"/>
        <v>0</v>
      </c>
      <c r="K445">
        <f t="shared" si="38"/>
        <v>0</v>
      </c>
      <c r="L445">
        <f t="shared" si="40"/>
        <v>0</v>
      </c>
      <c r="M445">
        <f t="shared" si="41"/>
        <v>0</v>
      </c>
    </row>
    <row r="446" spans="1:13" x14ac:dyDescent="0.25">
      <c r="A446" s="4"/>
      <c r="B446" s="4"/>
      <c r="C446" s="4"/>
      <c r="D446" s="4"/>
      <c r="E446" s="4"/>
      <c r="F446" s="4"/>
      <c r="H446">
        <f t="shared" si="39"/>
        <v>0</v>
      </c>
      <c r="I446">
        <f t="shared" si="36"/>
        <v>0</v>
      </c>
      <c r="J446">
        <f t="shared" si="37"/>
        <v>0</v>
      </c>
      <c r="K446">
        <f t="shared" si="38"/>
        <v>0</v>
      </c>
      <c r="L446">
        <f t="shared" si="40"/>
        <v>0</v>
      </c>
      <c r="M446">
        <f t="shared" si="41"/>
        <v>0</v>
      </c>
    </row>
    <row r="447" spans="1:13" x14ac:dyDescent="0.25">
      <c r="A447" s="4"/>
      <c r="B447" s="4"/>
      <c r="C447" s="4"/>
      <c r="D447" s="4"/>
      <c r="E447" s="4"/>
      <c r="F447" s="4"/>
      <c r="H447">
        <f t="shared" si="39"/>
        <v>0</v>
      </c>
      <c r="I447">
        <f t="shared" si="36"/>
        <v>0</v>
      </c>
      <c r="J447">
        <f t="shared" si="37"/>
        <v>0</v>
      </c>
      <c r="K447">
        <f t="shared" si="38"/>
        <v>0</v>
      </c>
      <c r="L447">
        <f t="shared" si="40"/>
        <v>0</v>
      </c>
      <c r="M447">
        <f t="shared" si="41"/>
        <v>0</v>
      </c>
    </row>
    <row r="448" spans="1:13" x14ac:dyDescent="0.25">
      <c r="A448" s="4"/>
      <c r="B448" s="4"/>
      <c r="C448" s="4"/>
      <c r="D448" s="4"/>
      <c r="E448" s="4"/>
      <c r="F448" s="4"/>
      <c r="H448">
        <f t="shared" si="39"/>
        <v>0</v>
      </c>
      <c r="I448">
        <f t="shared" si="36"/>
        <v>0</v>
      </c>
      <c r="J448">
        <f t="shared" si="37"/>
        <v>0</v>
      </c>
      <c r="K448">
        <f t="shared" si="38"/>
        <v>0</v>
      </c>
      <c r="L448">
        <f t="shared" si="40"/>
        <v>0</v>
      </c>
      <c r="M448">
        <f t="shared" si="41"/>
        <v>0</v>
      </c>
    </row>
    <row r="449" spans="1:13" x14ac:dyDescent="0.25">
      <c r="A449" s="4"/>
      <c r="B449" s="4"/>
      <c r="C449" s="4"/>
      <c r="D449" s="4"/>
      <c r="E449" s="4"/>
      <c r="F449" s="4"/>
      <c r="H449">
        <f t="shared" si="39"/>
        <v>0</v>
      </c>
      <c r="I449">
        <f t="shared" si="36"/>
        <v>0</v>
      </c>
      <c r="J449">
        <f t="shared" si="37"/>
        <v>0</v>
      </c>
      <c r="K449">
        <f t="shared" si="38"/>
        <v>0</v>
      </c>
      <c r="L449">
        <f t="shared" si="40"/>
        <v>0</v>
      </c>
      <c r="M449">
        <f t="shared" si="41"/>
        <v>0</v>
      </c>
    </row>
    <row r="450" spans="1:13" x14ac:dyDescent="0.25">
      <c r="A450" s="4"/>
      <c r="B450" s="4"/>
      <c r="C450" s="4"/>
      <c r="D450" s="4"/>
      <c r="E450" s="4"/>
      <c r="F450" s="4"/>
      <c r="H450">
        <f t="shared" si="39"/>
        <v>0</v>
      </c>
      <c r="I450">
        <f t="shared" ref="I450:I513" si="42">C450*$I$1</f>
        <v>0</v>
      </c>
      <c r="J450">
        <f t="shared" ref="J450:J513" si="43">D450*$J$1</f>
        <v>0</v>
      </c>
      <c r="K450">
        <f t="shared" ref="K450:K513" si="44">E450*$K$1</f>
        <v>0</v>
      </c>
      <c r="L450">
        <f t="shared" si="40"/>
        <v>0</v>
      </c>
      <c r="M450">
        <f t="shared" si="41"/>
        <v>0</v>
      </c>
    </row>
    <row r="451" spans="1:13" x14ac:dyDescent="0.25">
      <c r="A451" s="4"/>
      <c r="B451" s="4"/>
      <c r="C451" s="4"/>
      <c r="D451" s="4"/>
      <c r="E451" s="4"/>
      <c r="F451" s="4"/>
      <c r="H451">
        <f t="shared" ref="H451:H514" si="45">B451*$H$1</f>
        <v>0</v>
      </c>
      <c r="I451">
        <f t="shared" si="42"/>
        <v>0</v>
      </c>
      <c r="J451">
        <f t="shared" si="43"/>
        <v>0</v>
      </c>
      <c r="K451">
        <f t="shared" si="44"/>
        <v>0</v>
      </c>
      <c r="L451">
        <f t="shared" ref="L451:L514" si="46">F451*$L$1</f>
        <v>0</v>
      </c>
      <c r="M451">
        <f t="shared" ref="M451:M514" si="47">SUM(H451:L451)</f>
        <v>0</v>
      </c>
    </row>
    <row r="452" spans="1:13" x14ac:dyDescent="0.25">
      <c r="A452" s="4"/>
      <c r="B452" s="4"/>
      <c r="C452" s="4"/>
      <c r="D452" s="4"/>
      <c r="E452" s="4"/>
      <c r="F452" s="4"/>
      <c r="H452">
        <f t="shared" si="45"/>
        <v>0</v>
      </c>
      <c r="I452">
        <f t="shared" si="42"/>
        <v>0</v>
      </c>
      <c r="J452">
        <f t="shared" si="43"/>
        <v>0</v>
      </c>
      <c r="K452">
        <f t="shared" si="44"/>
        <v>0</v>
      </c>
      <c r="L452">
        <f t="shared" si="46"/>
        <v>0</v>
      </c>
      <c r="M452">
        <f t="shared" si="47"/>
        <v>0</v>
      </c>
    </row>
    <row r="453" spans="1:13" x14ac:dyDescent="0.25">
      <c r="A453" s="4"/>
      <c r="B453" s="4"/>
      <c r="C453" s="4"/>
      <c r="D453" s="4"/>
      <c r="E453" s="4"/>
      <c r="F453" s="4"/>
      <c r="H453">
        <f t="shared" si="45"/>
        <v>0</v>
      </c>
      <c r="I453">
        <f t="shared" si="42"/>
        <v>0</v>
      </c>
      <c r="J453">
        <f t="shared" si="43"/>
        <v>0</v>
      </c>
      <c r="K453">
        <f t="shared" si="44"/>
        <v>0</v>
      </c>
      <c r="L453">
        <f t="shared" si="46"/>
        <v>0</v>
      </c>
      <c r="M453">
        <f t="shared" si="47"/>
        <v>0</v>
      </c>
    </row>
    <row r="454" spans="1:13" x14ac:dyDescent="0.25">
      <c r="A454" s="4"/>
      <c r="B454" s="4"/>
      <c r="C454" s="4"/>
      <c r="D454" s="4"/>
      <c r="E454" s="4"/>
      <c r="F454" s="4"/>
      <c r="H454">
        <f t="shared" si="45"/>
        <v>0</v>
      </c>
      <c r="I454">
        <f t="shared" si="42"/>
        <v>0</v>
      </c>
      <c r="J454">
        <f t="shared" si="43"/>
        <v>0</v>
      </c>
      <c r="K454">
        <f t="shared" si="44"/>
        <v>0</v>
      </c>
      <c r="L454">
        <f t="shared" si="46"/>
        <v>0</v>
      </c>
      <c r="M454">
        <f t="shared" si="47"/>
        <v>0</v>
      </c>
    </row>
    <row r="455" spans="1:13" x14ac:dyDescent="0.25">
      <c r="A455" s="4"/>
      <c r="B455" s="4"/>
      <c r="C455" s="4"/>
      <c r="D455" s="4"/>
      <c r="E455" s="4"/>
      <c r="F455" s="4"/>
      <c r="H455">
        <f t="shared" si="45"/>
        <v>0</v>
      </c>
      <c r="I455">
        <f t="shared" si="42"/>
        <v>0</v>
      </c>
      <c r="J455">
        <f t="shared" si="43"/>
        <v>0</v>
      </c>
      <c r="K455">
        <f t="shared" si="44"/>
        <v>0</v>
      </c>
      <c r="L455">
        <f t="shared" si="46"/>
        <v>0</v>
      </c>
      <c r="M455">
        <f t="shared" si="47"/>
        <v>0</v>
      </c>
    </row>
    <row r="456" spans="1:13" x14ac:dyDescent="0.25">
      <c r="A456" s="4"/>
      <c r="B456" s="4"/>
      <c r="C456" s="4"/>
      <c r="D456" s="4"/>
      <c r="E456" s="4"/>
      <c r="F456" s="4"/>
      <c r="H456">
        <f t="shared" si="45"/>
        <v>0</v>
      </c>
      <c r="I456">
        <f t="shared" si="42"/>
        <v>0</v>
      </c>
      <c r="J456">
        <f t="shared" si="43"/>
        <v>0</v>
      </c>
      <c r="K456">
        <f t="shared" si="44"/>
        <v>0</v>
      </c>
      <c r="L456">
        <f t="shared" si="46"/>
        <v>0</v>
      </c>
      <c r="M456">
        <f t="shared" si="47"/>
        <v>0</v>
      </c>
    </row>
    <row r="457" spans="1:13" x14ac:dyDescent="0.25">
      <c r="A457" s="4"/>
      <c r="B457" s="4"/>
      <c r="C457" s="4"/>
      <c r="D457" s="4"/>
      <c r="E457" s="4"/>
      <c r="F457" s="4"/>
      <c r="H457">
        <f t="shared" si="45"/>
        <v>0</v>
      </c>
      <c r="I457">
        <f t="shared" si="42"/>
        <v>0</v>
      </c>
      <c r="J457">
        <f t="shared" si="43"/>
        <v>0</v>
      </c>
      <c r="K457">
        <f t="shared" si="44"/>
        <v>0</v>
      </c>
      <c r="L457">
        <f t="shared" si="46"/>
        <v>0</v>
      </c>
      <c r="M457">
        <f t="shared" si="47"/>
        <v>0</v>
      </c>
    </row>
    <row r="458" spans="1:13" x14ac:dyDescent="0.25">
      <c r="A458" s="4"/>
      <c r="B458" s="4"/>
      <c r="C458" s="4"/>
      <c r="D458" s="4"/>
      <c r="E458" s="4"/>
      <c r="F458" s="4"/>
      <c r="H458">
        <f t="shared" si="45"/>
        <v>0</v>
      </c>
      <c r="I458">
        <f t="shared" si="42"/>
        <v>0</v>
      </c>
      <c r="J458">
        <f t="shared" si="43"/>
        <v>0</v>
      </c>
      <c r="K458">
        <f t="shared" si="44"/>
        <v>0</v>
      </c>
      <c r="L458">
        <f t="shared" si="46"/>
        <v>0</v>
      </c>
      <c r="M458">
        <f t="shared" si="47"/>
        <v>0</v>
      </c>
    </row>
    <row r="459" spans="1:13" x14ac:dyDescent="0.25">
      <c r="A459" s="4"/>
      <c r="B459" s="4"/>
      <c r="C459" s="4"/>
      <c r="D459" s="4"/>
      <c r="E459" s="4"/>
      <c r="F459" s="4"/>
      <c r="H459">
        <f t="shared" si="45"/>
        <v>0</v>
      </c>
      <c r="I459">
        <f t="shared" si="42"/>
        <v>0</v>
      </c>
      <c r="J459">
        <f t="shared" si="43"/>
        <v>0</v>
      </c>
      <c r="K459">
        <f t="shared" si="44"/>
        <v>0</v>
      </c>
      <c r="L459">
        <f t="shared" si="46"/>
        <v>0</v>
      </c>
      <c r="M459">
        <f t="shared" si="47"/>
        <v>0</v>
      </c>
    </row>
    <row r="460" spans="1:13" x14ac:dyDescent="0.25">
      <c r="A460" s="4"/>
      <c r="B460" s="4"/>
      <c r="C460" s="4"/>
      <c r="D460" s="4"/>
      <c r="E460" s="4"/>
      <c r="F460" s="4"/>
      <c r="H460">
        <f t="shared" si="45"/>
        <v>0</v>
      </c>
      <c r="I460">
        <f t="shared" si="42"/>
        <v>0</v>
      </c>
      <c r="J460">
        <f t="shared" si="43"/>
        <v>0</v>
      </c>
      <c r="K460">
        <f t="shared" si="44"/>
        <v>0</v>
      </c>
      <c r="L460">
        <f t="shared" si="46"/>
        <v>0</v>
      </c>
      <c r="M460">
        <f t="shared" si="47"/>
        <v>0</v>
      </c>
    </row>
    <row r="461" spans="1:13" x14ac:dyDescent="0.25">
      <c r="A461" s="4"/>
      <c r="B461" s="4"/>
      <c r="C461" s="4"/>
      <c r="D461" s="4"/>
      <c r="E461" s="4"/>
      <c r="F461" s="4"/>
      <c r="H461">
        <f t="shared" si="45"/>
        <v>0</v>
      </c>
      <c r="I461">
        <f t="shared" si="42"/>
        <v>0</v>
      </c>
      <c r="J461">
        <f t="shared" si="43"/>
        <v>0</v>
      </c>
      <c r="K461">
        <f t="shared" si="44"/>
        <v>0</v>
      </c>
      <c r="L461">
        <f t="shared" si="46"/>
        <v>0</v>
      </c>
      <c r="M461">
        <f t="shared" si="47"/>
        <v>0</v>
      </c>
    </row>
    <row r="462" spans="1:13" x14ac:dyDescent="0.25">
      <c r="A462" s="4"/>
      <c r="B462" s="4"/>
      <c r="C462" s="4"/>
      <c r="D462" s="4"/>
      <c r="E462" s="4"/>
      <c r="F462" s="4"/>
      <c r="H462">
        <f t="shared" si="45"/>
        <v>0</v>
      </c>
      <c r="I462">
        <f t="shared" si="42"/>
        <v>0</v>
      </c>
      <c r="J462">
        <f t="shared" si="43"/>
        <v>0</v>
      </c>
      <c r="K462">
        <f t="shared" si="44"/>
        <v>0</v>
      </c>
      <c r="L462">
        <f t="shared" si="46"/>
        <v>0</v>
      </c>
      <c r="M462">
        <f t="shared" si="47"/>
        <v>0</v>
      </c>
    </row>
    <row r="463" spans="1:13" x14ac:dyDescent="0.25">
      <c r="A463" s="4"/>
      <c r="B463" s="4"/>
      <c r="C463" s="4"/>
      <c r="D463" s="4"/>
      <c r="E463" s="4"/>
      <c r="F463" s="4"/>
      <c r="H463">
        <f t="shared" si="45"/>
        <v>0</v>
      </c>
      <c r="I463">
        <f t="shared" si="42"/>
        <v>0</v>
      </c>
      <c r="J463">
        <f t="shared" si="43"/>
        <v>0</v>
      </c>
      <c r="K463">
        <f t="shared" si="44"/>
        <v>0</v>
      </c>
      <c r="L463">
        <f t="shared" si="46"/>
        <v>0</v>
      </c>
      <c r="M463">
        <f t="shared" si="47"/>
        <v>0</v>
      </c>
    </row>
    <row r="464" spans="1:13" x14ac:dyDescent="0.25">
      <c r="A464" s="4"/>
      <c r="B464" s="4"/>
      <c r="C464" s="4"/>
      <c r="D464" s="4"/>
      <c r="E464" s="4"/>
      <c r="F464" s="4"/>
      <c r="H464">
        <f t="shared" si="45"/>
        <v>0</v>
      </c>
      <c r="I464">
        <f t="shared" si="42"/>
        <v>0</v>
      </c>
      <c r="J464">
        <f t="shared" si="43"/>
        <v>0</v>
      </c>
      <c r="K464">
        <f t="shared" si="44"/>
        <v>0</v>
      </c>
      <c r="L464">
        <f t="shared" si="46"/>
        <v>0</v>
      </c>
      <c r="M464">
        <f t="shared" si="47"/>
        <v>0</v>
      </c>
    </row>
    <row r="465" spans="1:13" x14ac:dyDescent="0.25">
      <c r="A465" s="4"/>
      <c r="B465" s="4"/>
      <c r="C465" s="4"/>
      <c r="D465" s="4"/>
      <c r="E465" s="4"/>
      <c r="F465" s="4"/>
      <c r="H465">
        <f t="shared" si="45"/>
        <v>0</v>
      </c>
      <c r="I465">
        <f t="shared" si="42"/>
        <v>0</v>
      </c>
      <c r="J465">
        <f t="shared" si="43"/>
        <v>0</v>
      </c>
      <c r="K465">
        <f t="shared" si="44"/>
        <v>0</v>
      </c>
      <c r="L465">
        <f t="shared" si="46"/>
        <v>0</v>
      </c>
      <c r="M465">
        <f t="shared" si="47"/>
        <v>0</v>
      </c>
    </row>
    <row r="466" spans="1:13" x14ac:dyDescent="0.25">
      <c r="A466" s="4"/>
      <c r="B466" s="4"/>
      <c r="C466" s="4"/>
      <c r="D466" s="4"/>
      <c r="E466" s="4"/>
      <c r="F466" s="4"/>
      <c r="H466">
        <f t="shared" si="45"/>
        <v>0</v>
      </c>
      <c r="I466">
        <f t="shared" si="42"/>
        <v>0</v>
      </c>
      <c r="J466">
        <f t="shared" si="43"/>
        <v>0</v>
      </c>
      <c r="K466">
        <f t="shared" si="44"/>
        <v>0</v>
      </c>
      <c r="L466">
        <f t="shared" si="46"/>
        <v>0</v>
      </c>
      <c r="M466">
        <f t="shared" si="47"/>
        <v>0</v>
      </c>
    </row>
    <row r="467" spans="1:13" x14ac:dyDescent="0.25">
      <c r="A467" s="4"/>
      <c r="B467" s="4"/>
      <c r="C467" s="4"/>
      <c r="D467" s="4"/>
      <c r="E467" s="4"/>
      <c r="F467" s="4"/>
      <c r="H467">
        <f t="shared" si="45"/>
        <v>0</v>
      </c>
      <c r="I467">
        <f t="shared" si="42"/>
        <v>0</v>
      </c>
      <c r="J467">
        <f t="shared" si="43"/>
        <v>0</v>
      </c>
      <c r="K467">
        <f t="shared" si="44"/>
        <v>0</v>
      </c>
      <c r="L467">
        <f t="shared" si="46"/>
        <v>0</v>
      </c>
      <c r="M467">
        <f t="shared" si="47"/>
        <v>0</v>
      </c>
    </row>
    <row r="468" spans="1:13" x14ac:dyDescent="0.25">
      <c r="A468" s="4"/>
      <c r="B468" s="4"/>
      <c r="C468" s="4"/>
      <c r="D468" s="4"/>
      <c r="E468" s="4"/>
      <c r="F468" s="4"/>
      <c r="H468">
        <f t="shared" si="45"/>
        <v>0</v>
      </c>
      <c r="I468">
        <f t="shared" si="42"/>
        <v>0</v>
      </c>
      <c r="J468">
        <f t="shared" si="43"/>
        <v>0</v>
      </c>
      <c r="K468">
        <f t="shared" si="44"/>
        <v>0</v>
      </c>
      <c r="L468">
        <f t="shared" si="46"/>
        <v>0</v>
      </c>
      <c r="M468">
        <f t="shared" si="47"/>
        <v>0</v>
      </c>
    </row>
    <row r="469" spans="1:13" x14ac:dyDescent="0.25">
      <c r="A469" s="4"/>
      <c r="B469" s="4"/>
      <c r="C469" s="4"/>
      <c r="D469" s="4"/>
      <c r="E469" s="4"/>
      <c r="F469" s="4"/>
      <c r="H469">
        <f t="shared" si="45"/>
        <v>0</v>
      </c>
      <c r="I469">
        <f t="shared" si="42"/>
        <v>0</v>
      </c>
      <c r="J469">
        <f t="shared" si="43"/>
        <v>0</v>
      </c>
      <c r="K469">
        <f t="shared" si="44"/>
        <v>0</v>
      </c>
      <c r="L469">
        <f t="shared" si="46"/>
        <v>0</v>
      </c>
      <c r="M469">
        <f t="shared" si="47"/>
        <v>0</v>
      </c>
    </row>
    <row r="470" spans="1:13" x14ac:dyDescent="0.25">
      <c r="A470" s="4"/>
      <c r="B470" s="4"/>
      <c r="C470" s="4"/>
      <c r="D470" s="4"/>
      <c r="E470" s="4"/>
      <c r="F470" s="4"/>
      <c r="H470">
        <f t="shared" si="45"/>
        <v>0</v>
      </c>
      <c r="I470">
        <f t="shared" si="42"/>
        <v>0</v>
      </c>
      <c r="J470">
        <f t="shared" si="43"/>
        <v>0</v>
      </c>
      <c r="K470">
        <f t="shared" si="44"/>
        <v>0</v>
      </c>
      <c r="L470">
        <f t="shared" si="46"/>
        <v>0</v>
      </c>
      <c r="M470">
        <f t="shared" si="47"/>
        <v>0</v>
      </c>
    </row>
    <row r="471" spans="1:13" x14ac:dyDescent="0.25">
      <c r="A471" s="4"/>
      <c r="B471" s="4"/>
      <c r="C471" s="4"/>
      <c r="D471" s="4"/>
      <c r="E471" s="4"/>
      <c r="F471" s="4"/>
      <c r="H471">
        <f t="shared" si="45"/>
        <v>0</v>
      </c>
      <c r="I471">
        <f t="shared" si="42"/>
        <v>0</v>
      </c>
      <c r="J471">
        <f t="shared" si="43"/>
        <v>0</v>
      </c>
      <c r="K471">
        <f t="shared" si="44"/>
        <v>0</v>
      </c>
      <c r="L471">
        <f t="shared" si="46"/>
        <v>0</v>
      </c>
      <c r="M471">
        <f t="shared" si="47"/>
        <v>0</v>
      </c>
    </row>
    <row r="472" spans="1:13" x14ac:dyDescent="0.25">
      <c r="A472" s="4"/>
      <c r="B472" s="4"/>
      <c r="C472" s="4"/>
      <c r="D472" s="4"/>
      <c r="E472" s="4"/>
      <c r="F472" s="4"/>
      <c r="H472">
        <f t="shared" si="45"/>
        <v>0</v>
      </c>
      <c r="I472">
        <f t="shared" si="42"/>
        <v>0</v>
      </c>
      <c r="J472">
        <f t="shared" si="43"/>
        <v>0</v>
      </c>
      <c r="K472">
        <f t="shared" si="44"/>
        <v>0</v>
      </c>
      <c r="L472">
        <f t="shared" si="46"/>
        <v>0</v>
      </c>
      <c r="M472">
        <f t="shared" si="47"/>
        <v>0</v>
      </c>
    </row>
    <row r="473" spans="1:13" x14ac:dyDescent="0.25">
      <c r="A473" s="4"/>
      <c r="B473" s="4"/>
      <c r="C473" s="4"/>
      <c r="D473" s="4"/>
      <c r="E473" s="4"/>
      <c r="F473" s="4"/>
      <c r="H473">
        <f t="shared" si="45"/>
        <v>0</v>
      </c>
      <c r="I473">
        <f t="shared" si="42"/>
        <v>0</v>
      </c>
      <c r="J473">
        <f t="shared" si="43"/>
        <v>0</v>
      </c>
      <c r="K473">
        <f t="shared" si="44"/>
        <v>0</v>
      </c>
      <c r="L473">
        <f t="shared" si="46"/>
        <v>0</v>
      </c>
      <c r="M473">
        <f t="shared" si="47"/>
        <v>0</v>
      </c>
    </row>
    <row r="474" spans="1:13" x14ac:dyDescent="0.25">
      <c r="A474" s="4"/>
      <c r="B474" s="4"/>
      <c r="C474" s="4"/>
      <c r="D474" s="4"/>
      <c r="E474" s="4"/>
      <c r="F474" s="4"/>
      <c r="H474">
        <f t="shared" si="45"/>
        <v>0</v>
      </c>
      <c r="I474">
        <f t="shared" si="42"/>
        <v>0</v>
      </c>
      <c r="J474">
        <f t="shared" si="43"/>
        <v>0</v>
      </c>
      <c r="K474">
        <f t="shared" si="44"/>
        <v>0</v>
      </c>
      <c r="L474">
        <f t="shared" si="46"/>
        <v>0</v>
      </c>
      <c r="M474">
        <f t="shared" si="47"/>
        <v>0</v>
      </c>
    </row>
    <row r="475" spans="1:13" x14ac:dyDescent="0.25">
      <c r="A475" s="4"/>
      <c r="B475" s="4"/>
      <c r="C475" s="4"/>
      <c r="D475" s="4"/>
      <c r="E475" s="4"/>
      <c r="F475" s="4"/>
      <c r="H475">
        <f t="shared" si="45"/>
        <v>0</v>
      </c>
      <c r="I475">
        <f t="shared" si="42"/>
        <v>0</v>
      </c>
      <c r="J475">
        <f t="shared" si="43"/>
        <v>0</v>
      </c>
      <c r="K475">
        <f t="shared" si="44"/>
        <v>0</v>
      </c>
      <c r="L475">
        <f t="shared" si="46"/>
        <v>0</v>
      </c>
      <c r="M475">
        <f t="shared" si="47"/>
        <v>0</v>
      </c>
    </row>
    <row r="476" spans="1:13" x14ac:dyDescent="0.25">
      <c r="A476" s="4"/>
      <c r="B476" s="4"/>
      <c r="C476" s="4"/>
      <c r="D476" s="4"/>
      <c r="E476" s="4"/>
      <c r="F476" s="4"/>
      <c r="H476">
        <f t="shared" si="45"/>
        <v>0</v>
      </c>
      <c r="I476">
        <f t="shared" si="42"/>
        <v>0</v>
      </c>
      <c r="J476">
        <f t="shared" si="43"/>
        <v>0</v>
      </c>
      <c r="K476">
        <f t="shared" si="44"/>
        <v>0</v>
      </c>
      <c r="L476">
        <f t="shared" si="46"/>
        <v>0</v>
      </c>
      <c r="M476">
        <f t="shared" si="47"/>
        <v>0</v>
      </c>
    </row>
    <row r="477" spans="1:13" x14ac:dyDescent="0.25">
      <c r="A477" s="4"/>
      <c r="B477" s="4"/>
      <c r="C477" s="4"/>
      <c r="D477" s="4"/>
      <c r="E477" s="4"/>
      <c r="F477" s="4"/>
      <c r="H477">
        <f t="shared" si="45"/>
        <v>0</v>
      </c>
      <c r="I477">
        <f t="shared" si="42"/>
        <v>0</v>
      </c>
      <c r="J477">
        <f t="shared" si="43"/>
        <v>0</v>
      </c>
      <c r="K477">
        <f t="shared" si="44"/>
        <v>0</v>
      </c>
      <c r="L477">
        <f t="shared" si="46"/>
        <v>0</v>
      </c>
      <c r="M477">
        <f t="shared" si="47"/>
        <v>0</v>
      </c>
    </row>
    <row r="478" spans="1:13" x14ac:dyDescent="0.25">
      <c r="A478" s="4"/>
      <c r="B478" s="4"/>
      <c r="C478" s="4"/>
      <c r="D478" s="4"/>
      <c r="E478" s="4"/>
      <c r="F478" s="4"/>
      <c r="H478">
        <f t="shared" si="45"/>
        <v>0</v>
      </c>
      <c r="I478">
        <f t="shared" si="42"/>
        <v>0</v>
      </c>
      <c r="J478">
        <f t="shared" si="43"/>
        <v>0</v>
      </c>
      <c r="K478">
        <f t="shared" si="44"/>
        <v>0</v>
      </c>
      <c r="L478">
        <f t="shared" si="46"/>
        <v>0</v>
      </c>
      <c r="M478">
        <f t="shared" si="47"/>
        <v>0</v>
      </c>
    </row>
    <row r="479" spans="1:13" x14ac:dyDescent="0.25">
      <c r="A479" s="4"/>
      <c r="B479" s="4"/>
      <c r="C479" s="4"/>
      <c r="D479" s="4"/>
      <c r="E479" s="4"/>
      <c r="F479" s="4"/>
      <c r="H479">
        <f t="shared" si="45"/>
        <v>0</v>
      </c>
      <c r="I479">
        <f t="shared" si="42"/>
        <v>0</v>
      </c>
      <c r="J479">
        <f t="shared" si="43"/>
        <v>0</v>
      </c>
      <c r="K479">
        <f t="shared" si="44"/>
        <v>0</v>
      </c>
      <c r="L479">
        <f t="shared" si="46"/>
        <v>0</v>
      </c>
      <c r="M479">
        <f t="shared" si="47"/>
        <v>0</v>
      </c>
    </row>
    <row r="480" spans="1:13" x14ac:dyDescent="0.25">
      <c r="A480" s="4"/>
      <c r="B480" s="4"/>
      <c r="C480" s="4"/>
      <c r="D480" s="4"/>
      <c r="E480" s="4"/>
      <c r="F480" s="4"/>
      <c r="H480">
        <f t="shared" si="45"/>
        <v>0</v>
      </c>
      <c r="I480">
        <f t="shared" si="42"/>
        <v>0</v>
      </c>
      <c r="J480">
        <f t="shared" si="43"/>
        <v>0</v>
      </c>
      <c r="K480">
        <f t="shared" si="44"/>
        <v>0</v>
      </c>
      <c r="L480">
        <f t="shared" si="46"/>
        <v>0</v>
      </c>
      <c r="M480">
        <f t="shared" si="47"/>
        <v>0</v>
      </c>
    </row>
    <row r="481" spans="1:13" x14ac:dyDescent="0.25">
      <c r="A481" s="4"/>
      <c r="B481" s="4"/>
      <c r="C481" s="4"/>
      <c r="D481" s="4"/>
      <c r="E481" s="4"/>
      <c r="F481" s="4"/>
      <c r="H481">
        <f t="shared" si="45"/>
        <v>0</v>
      </c>
      <c r="I481">
        <f t="shared" si="42"/>
        <v>0</v>
      </c>
      <c r="J481">
        <f t="shared" si="43"/>
        <v>0</v>
      </c>
      <c r="K481">
        <f t="shared" si="44"/>
        <v>0</v>
      </c>
      <c r="L481">
        <f t="shared" si="46"/>
        <v>0</v>
      </c>
      <c r="M481">
        <f t="shared" si="47"/>
        <v>0</v>
      </c>
    </row>
    <row r="482" spans="1:13" x14ac:dyDescent="0.25">
      <c r="A482" s="4"/>
      <c r="B482" s="4"/>
      <c r="C482" s="4"/>
      <c r="D482" s="4"/>
      <c r="E482" s="4"/>
      <c r="F482" s="4"/>
      <c r="H482">
        <f t="shared" si="45"/>
        <v>0</v>
      </c>
      <c r="I482">
        <f t="shared" si="42"/>
        <v>0</v>
      </c>
      <c r="J482">
        <f t="shared" si="43"/>
        <v>0</v>
      </c>
      <c r="K482">
        <f t="shared" si="44"/>
        <v>0</v>
      </c>
      <c r="L482">
        <f t="shared" si="46"/>
        <v>0</v>
      </c>
      <c r="M482">
        <f t="shared" si="47"/>
        <v>0</v>
      </c>
    </row>
    <row r="483" spans="1:13" x14ac:dyDescent="0.25">
      <c r="A483" s="4"/>
      <c r="B483" s="4"/>
      <c r="C483" s="4"/>
      <c r="D483" s="4"/>
      <c r="E483" s="4"/>
      <c r="F483" s="4"/>
      <c r="H483">
        <f t="shared" si="45"/>
        <v>0</v>
      </c>
      <c r="I483">
        <f t="shared" si="42"/>
        <v>0</v>
      </c>
      <c r="J483">
        <f t="shared" si="43"/>
        <v>0</v>
      </c>
      <c r="K483">
        <f t="shared" si="44"/>
        <v>0</v>
      </c>
      <c r="L483">
        <f t="shared" si="46"/>
        <v>0</v>
      </c>
      <c r="M483">
        <f t="shared" si="47"/>
        <v>0</v>
      </c>
    </row>
    <row r="484" spans="1:13" x14ac:dyDescent="0.25">
      <c r="A484" s="4"/>
      <c r="B484" s="4"/>
      <c r="C484" s="4"/>
      <c r="D484" s="4"/>
      <c r="E484" s="4"/>
      <c r="F484" s="4"/>
      <c r="H484">
        <f t="shared" si="45"/>
        <v>0</v>
      </c>
      <c r="I484">
        <f t="shared" si="42"/>
        <v>0</v>
      </c>
      <c r="J484">
        <f t="shared" si="43"/>
        <v>0</v>
      </c>
      <c r="K484">
        <f t="shared" si="44"/>
        <v>0</v>
      </c>
      <c r="L484">
        <f t="shared" si="46"/>
        <v>0</v>
      </c>
      <c r="M484">
        <f t="shared" si="47"/>
        <v>0</v>
      </c>
    </row>
    <row r="485" spans="1:13" x14ac:dyDescent="0.25">
      <c r="A485" s="4"/>
      <c r="B485" s="4"/>
      <c r="C485" s="4"/>
      <c r="D485" s="4"/>
      <c r="E485" s="4"/>
      <c r="F485" s="4"/>
      <c r="H485">
        <f t="shared" si="45"/>
        <v>0</v>
      </c>
      <c r="I485">
        <f t="shared" si="42"/>
        <v>0</v>
      </c>
      <c r="J485">
        <f t="shared" si="43"/>
        <v>0</v>
      </c>
      <c r="K485">
        <f t="shared" si="44"/>
        <v>0</v>
      </c>
      <c r="L485">
        <f t="shared" si="46"/>
        <v>0</v>
      </c>
      <c r="M485">
        <f t="shared" si="47"/>
        <v>0</v>
      </c>
    </row>
    <row r="486" spans="1:13" x14ac:dyDescent="0.25">
      <c r="A486" s="4"/>
      <c r="B486" s="4"/>
      <c r="C486" s="4"/>
      <c r="D486" s="4"/>
      <c r="E486" s="4"/>
      <c r="F486" s="4"/>
      <c r="H486">
        <f t="shared" si="45"/>
        <v>0</v>
      </c>
      <c r="I486">
        <f t="shared" si="42"/>
        <v>0</v>
      </c>
      <c r="J486">
        <f t="shared" si="43"/>
        <v>0</v>
      </c>
      <c r="K486">
        <f t="shared" si="44"/>
        <v>0</v>
      </c>
      <c r="L486">
        <f t="shared" si="46"/>
        <v>0</v>
      </c>
      <c r="M486">
        <f t="shared" si="47"/>
        <v>0</v>
      </c>
    </row>
    <row r="487" spans="1:13" x14ac:dyDescent="0.25">
      <c r="A487" s="4"/>
      <c r="B487" s="4"/>
      <c r="C487" s="4"/>
      <c r="D487" s="4"/>
      <c r="E487" s="4"/>
      <c r="F487" s="4"/>
      <c r="H487">
        <f t="shared" si="45"/>
        <v>0</v>
      </c>
      <c r="I487">
        <f t="shared" si="42"/>
        <v>0</v>
      </c>
      <c r="J487">
        <f t="shared" si="43"/>
        <v>0</v>
      </c>
      <c r="K487">
        <f t="shared" si="44"/>
        <v>0</v>
      </c>
      <c r="L487">
        <f t="shared" si="46"/>
        <v>0</v>
      </c>
      <c r="M487">
        <f t="shared" si="47"/>
        <v>0</v>
      </c>
    </row>
    <row r="488" spans="1:13" x14ac:dyDescent="0.25">
      <c r="A488" s="4"/>
      <c r="B488" s="4"/>
      <c r="C488" s="4"/>
      <c r="D488" s="4"/>
      <c r="E488" s="4"/>
      <c r="F488" s="4"/>
      <c r="H488">
        <f t="shared" si="45"/>
        <v>0</v>
      </c>
      <c r="I488">
        <f t="shared" si="42"/>
        <v>0</v>
      </c>
      <c r="J488">
        <f t="shared" si="43"/>
        <v>0</v>
      </c>
      <c r="K488">
        <f t="shared" si="44"/>
        <v>0</v>
      </c>
      <c r="L488">
        <f t="shared" si="46"/>
        <v>0</v>
      </c>
      <c r="M488">
        <f t="shared" si="47"/>
        <v>0</v>
      </c>
    </row>
    <row r="489" spans="1:13" x14ac:dyDescent="0.25">
      <c r="A489" s="4"/>
      <c r="B489" s="4"/>
      <c r="C489" s="4"/>
      <c r="D489" s="4"/>
      <c r="E489" s="4"/>
      <c r="F489" s="4"/>
      <c r="H489">
        <f t="shared" si="45"/>
        <v>0</v>
      </c>
      <c r="I489">
        <f t="shared" si="42"/>
        <v>0</v>
      </c>
      <c r="J489">
        <f t="shared" si="43"/>
        <v>0</v>
      </c>
      <c r="K489">
        <f t="shared" si="44"/>
        <v>0</v>
      </c>
      <c r="L489">
        <f t="shared" si="46"/>
        <v>0</v>
      </c>
      <c r="M489">
        <f t="shared" si="47"/>
        <v>0</v>
      </c>
    </row>
    <row r="490" spans="1:13" x14ac:dyDescent="0.25">
      <c r="A490" s="4"/>
      <c r="B490" s="4"/>
      <c r="C490" s="4"/>
      <c r="D490" s="4"/>
      <c r="E490" s="4"/>
      <c r="F490" s="4"/>
      <c r="H490">
        <f t="shared" si="45"/>
        <v>0</v>
      </c>
      <c r="I490">
        <f t="shared" si="42"/>
        <v>0</v>
      </c>
      <c r="J490">
        <f t="shared" si="43"/>
        <v>0</v>
      </c>
      <c r="K490">
        <f t="shared" si="44"/>
        <v>0</v>
      </c>
      <c r="L490">
        <f t="shared" si="46"/>
        <v>0</v>
      </c>
      <c r="M490">
        <f t="shared" si="47"/>
        <v>0</v>
      </c>
    </row>
    <row r="491" spans="1:13" x14ac:dyDescent="0.25">
      <c r="A491" s="4"/>
      <c r="B491" s="4"/>
      <c r="C491" s="4"/>
      <c r="D491" s="4"/>
      <c r="E491" s="4"/>
      <c r="F491" s="4"/>
      <c r="H491">
        <f t="shared" si="45"/>
        <v>0</v>
      </c>
      <c r="I491">
        <f t="shared" si="42"/>
        <v>0</v>
      </c>
      <c r="J491">
        <f t="shared" si="43"/>
        <v>0</v>
      </c>
      <c r="K491">
        <f t="shared" si="44"/>
        <v>0</v>
      </c>
      <c r="L491">
        <f t="shared" si="46"/>
        <v>0</v>
      </c>
      <c r="M491">
        <f t="shared" si="47"/>
        <v>0</v>
      </c>
    </row>
    <row r="492" spans="1:13" x14ac:dyDescent="0.25">
      <c r="A492" s="4"/>
      <c r="B492" s="4"/>
      <c r="C492" s="4"/>
      <c r="D492" s="4"/>
      <c r="E492" s="4"/>
      <c r="F492" s="4"/>
      <c r="H492">
        <f t="shared" si="45"/>
        <v>0</v>
      </c>
      <c r="I492">
        <f t="shared" si="42"/>
        <v>0</v>
      </c>
      <c r="J492">
        <f t="shared" si="43"/>
        <v>0</v>
      </c>
      <c r="K492">
        <f t="shared" si="44"/>
        <v>0</v>
      </c>
      <c r="L492">
        <f t="shared" si="46"/>
        <v>0</v>
      </c>
      <c r="M492">
        <f t="shared" si="47"/>
        <v>0</v>
      </c>
    </row>
    <row r="493" spans="1:13" x14ac:dyDescent="0.25">
      <c r="A493" s="4"/>
      <c r="B493" s="4"/>
      <c r="C493" s="4"/>
      <c r="D493" s="4"/>
      <c r="E493" s="4"/>
      <c r="F493" s="4"/>
      <c r="H493">
        <f t="shared" si="45"/>
        <v>0</v>
      </c>
      <c r="I493">
        <f t="shared" si="42"/>
        <v>0</v>
      </c>
      <c r="J493">
        <f t="shared" si="43"/>
        <v>0</v>
      </c>
      <c r="K493">
        <f t="shared" si="44"/>
        <v>0</v>
      </c>
      <c r="L493">
        <f t="shared" si="46"/>
        <v>0</v>
      </c>
      <c r="M493">
        <f t="shared" si="47"/>
        <v>0</v>
      </c>
    </row>
    <row r="494" spans="1:13" x14ac:dyDescent="0.25">
      <c r="A494" s="4"/>
      <c r="B494" s="4"/>
      <c r="C494" s="4"/>
      <c r="D494" s="4"/>
      <c r="E494" s="4"/>
      <c r="F494" s="4"/>
      <c r="H494">
        <f t="shared" si="45"/>
        <v>0</v>
      </c>
      <c r="I494">
        <f t="shared" si="42"/>
        <v>0</v>
      </c>
      <c r="J494">
        <f t="shared" si="43"/>
        <v>0</v>
      </c>
      <c r="K494">
        <f t="shared" si="44"/>
        <v>0</v>
      </c>
      <c r="L494">
        <f t="shared" si="46"/>
        <v>0</v>
      </c>
      <c r="M494">
        <f t="shared" si="47"/>
        <v>0</v>
      </c>
    </row>
    <row r="495" spans="1:13" x14ac:dyDescent="0.25">
      <c r="A495" s="4"/>
      <c r="B495" s="4"/>
      <c r="C495" s="4"/>
      <c r="D495" s="4"/>
      <c r="E495" s="4"/>
      <c r="F495" s="4"/>
      <c r="H495">
        <f t="shared" si="45"/>
        <v>0</v>
      </c>
      <c r="I495">
        <f t="shared" si="42"/>
        <v>0</v>
      </c>
      <c r="J495">
        <f t="shared" si="43"/>
        <v>0</v>
      </c>
      <c r="K495">
        <f t="shared" si="44"/>
        <v>0</v>
      </c>
      <c r="L495">
        <f t="shared" si="46"/>
        <v>0</v>
      </c>
      <c r="M495">
        <f t="shared" si="47"/>
        <v>0</v>
      </c>
    </row>
    <row r="496" spans="1:13" x14ac:dyDescent="0.25">
      <c r="A496" s="4"/>
      <c r="B496" s="4"/>
      <c r="C496" s="4"/>
      <c r="D496" s="4"/>
      <c r="E496" s="4"/>
      <c r="F496" s="4"/>
      <c r="H496">
        <f t="shared" si="45"/>
        <v>0</v>
      </c>
      <c r="I496">
        <f t="shared" si="42"/>
        <v>0</v>
      </c>
      <c r="J496">
        <f t="shared" si="43"/>
        <v>0</v>
      </c>
      <c r="K496">
        <f t="shared" si="44"/>
        <v>0</v>
      </c>
      <c r="L496">
        <f t="shared" si="46"/>
        <v>0</v>
      </c>
      <c r="M496">
        <f t="shared" si="47"/>
        <v>0</v>
      </c>
    </row>
    <row r="497" spans="1:13" x14ac:dyDescent="0.25">
      <c r="A497" s="4"/>
      <c r="B497" s="4"/>
      <c r="C497" s="4"/>
      <c r="D497" s="4"/>
      <c r="E497" s="4"/>
      <c r="F497" s="4"/>
      <c r="H497">
        <f t="shared" si="45"/>
        <v>0</v>
      </c>
      <c r="I497">
        <f t="shared" si="42"/>
        <v>0</v>
      </c>
      <c r="J497">
        <f t="shared" si="43"/>
        <v>0</v>
      </c>
      <c r="K497">
        <f t="shared" si="44"/>
        <v>0</v>
      </c>
      <c r="L497">
        <f t="shared" si="46"/>
        <v>0</v>
      </c>
      <c r="M497">
        <f t="shared" si="47"/>
        <v>0</v>
      </c>
    </row>
    <row r="498" spans="1:13" x14ac:dyDescent="0.25">
      <c r="A498" s="4"/>
      <c r="B498" s="4"/>
      <c r="C498" s="4"/>
      <c r="D498" s="4"/>
      <c r="E498" s="4"/>
      <c r="F498" s="4"/>
      <c r="H498">
        <f t="shared" si="45"/>
        <v>0</v>
      </c>
      <c r="I498">
        <f t="shared" si="42"/>
        <v>0</v>
      </c>
      <c r="J498">
        <f t="shared" si="43"/>
        <v>0</v>
      </c>
      <c r="K498">
        <f t="shared" si="44"/>
        <v>0</v>
      </c>
      <c r="L498">
        <f t="shared" si="46"/>
        <v>0</v>
      </c>
      <c r="M498">
        <f t="shared" si="47"/>
        <v>0</v>
      </c>
    </row>
    <row r="499" spans="1:13" x14ac:dyDescent="0.25">
      <c r="A499" s="4"/>
      <c r="B499" s="4"/>
      <c r="C499" s="4"/>
      <c r="D499" s="4"/>
      <c r="E499" s="4"/>
      <c r="F499" s="4"/>
      <c r="H499">
        <f t="shared" si="45"/>
        <v>0</v>
      </c>
      <c r="I499">
        <f t="shared" si="42"/>
        <v>0</v>
      </c>
      <c r="J499">
        <f t="shared" si="43"/>
        <v>0</v>
      </c>
      <c r="K499">
        <f t="shared" si="44"/>
        <v>0</v>
      </c>
      <c r="L499">
        <f t="shared" si="46"/>
        <v>0</v>
      </c>
      <c r="M499">
        <f t="shared" si="47"/>
        <v>0</v>
      </c>
    </row>
    <row r="500" spans="1:13" x14ac:dyDescent="0.25">
      <c r="A500" s="4"/>
      <c r="B500" s="4"/>
      <c r="C500" s="4"/>
      <c r="D500" s="4"/>
      <c r="E500" s="4"/>
      <c r="F500" s="4"/>
      <c r="H500">
        <f t="shared" si="45"/>
        <v>0</v>
      </c>
      <c r="I500">
        <f t="shared" si="42"/>
        <v>0</v>
      </c>
      <c r="J500">
        <f t="shared" si="43"/>
        <v>0</v>
      </c>
      <c r="K500">
        <f t="shared" si="44"/>
        <v>0</v>
      </c>
      <c r="L500">
        <f t="shared" si="46"/>
        <v>0</v>
      </c>
      <c r="M500">
        <f t="shared" si="47"/>
        <v>0</v>
      </c>
    </row>
    <row r="501" spans="1:13" x14ac:dyDescent="0.25">
      <c r="A501" s="4"/>
      <c r="B501" s="4"/>
      <c r="C501" s="4"/>
      <c r="D501" s="4"/>
      <c r="E501" s="4"/>
      <c r="F501" s="4"/>
      <c r="H501">
        <f t="shared" si="45"/>
        <v>0</v>
      </c>
      <c r="I501">
        <f t="shared" si="42"/>
        <v>0</v>
      </c>
      <c r="J501">
        <f t="shared" si="43"/>
        <v>0</v>
      </c>
      <c r="K501">
        <f t="shared" si="44"/>
        <v>0</v>
      </c>
      <c r="L501">
        <f t="shared" si="46"/>
        <v>0</v>
      </c>
      <c r="M501">
        <f t="shared" si="47"/>
        <v>0</v>
      </c>
    </row>
    <row r="502" spans="1:13" x14ac:dyDescent="0.25">
      <c r="A502" s="4"/>
      <c r="B502" s="4"/>
      <c r="C502" s="4"/>
      <c r="D502" s="4"/>
      <c r="E502" s="4"/>
      <c r="F502" s="4"/>
      <c r="H502">
        <f t="shared" si="45"/>
        <v>0</v>
      </c>
      <c r="I502">
        <f t="shared" si="42"/>
        <v>0</v>
      </c>
      <c r="J502">
        <f t="shared" si="43"/>
        <v>0</v>
      </c>
      <c r="K502">
        <f t="shared" si="44"/>
        <v>0</v>
      </c>
      <c r="L502">
        <f t="shared" si="46"/>
        <v>0</v>
      </c>
      <c r="M502">
        <f t="shared" si="47"/>
        <v>0</v>
      </c>
    </row>
    <row r="503" spans="1:13" x14ac:dyDescent="0.25">
      <c r="A503" s="4"/>
      <c r="B503" s="4"/>
      <c r="C503" s="4"/>
      <c r="D503" s="4"/>
      <c r="E503" s="4"/>
      <c r="F503" s="4"/>
      <c r="H503">
        <f t="shared" si="45"/>
        <v>0</v>
      </c>
      <c r="I503">
        <f t="shared" si="42"/>
        <v>0</v>
      </c>
      <c r="J503">
        <f t="shared" si="43"/>
        <v>0</v>
      </c>
      <c r="K503">
        <f t="shared" si="44"/>
        <v>0</v>
      </c>
      <c r="L503">
        <f t="shared" si="46"/>
        <v>0</v>
      </c>
      <c r="M503">
        <f t="shared" si="47"/>
        <v>0</v>
      </c>
    </row>
    <row r="504" spans="1:13" x14ac:dyDescent="0.25">
      <c r="A504" s="4"/>
      <c r="B504" s="4"/>
      <c r="C504" s="4"/>
      <c r="D504" s="4"/>
      <c r="E504" s="4"/>
      <c r="F504" s="4"/>
      <c r="H504">
        <f t="shared" si="45"/>
        <v>0</v>
      </c>
      <c r="I504">
        <f t="shared" si="42"/>
        <v>0</v>
      </c>
      <c r="J504">
        <f t="shared" si="43"/>
        <v>0</v>
      </c>
      <c r="K504">
        <f t="shared" si="44"/>
        <v>0</v>
      </c>
      <c r="L504">
        <f t="shared" si="46"/>
        <v>0</v>
      </c>
      <c r="M504">
        <f t="shared" si="47"/>
        <v>0</v>
      </c>
    </row>
    <row r="505" spans="1:13" x14ac:dyDescent="0.25">
      <c r="A505" s="4"/>
      <c r="B505" s="4"/>
      <c r="C505" s="4"/>
      <c r="D505" s="4"/>
      <c r="E505" s="4"/>
      <c r="F505" s="4"/>
      <c r="H505">
        <f t="shared" si="45"/>
        <v>0</v>
      </c>
      <c r="I505">
        <f t="shared" si="42"/>
        <v>0</v>
      </c>
      <c r="J505">
        <f t="shared" si="43"/>
        <v>0</v>
      </c>
      <c r="K505">
        <f t="shared" si="44"/>
        <v>0</v>
      </c>
      <c r="L505">
        <f t="shared" si="46"/>
        <v>0</v>
      </c>
      <c r="M505">
        <f t="shared" si="47"/>
        <v>0</v>
      </c>
    </row>
    <row r="506" spans="1:13" x14ac:dyDescent="0.25">
      <c r="A506" s="4"/>
      <c r="B506" s="4"/>
      <c r="C506" s="4"/>
      <c r="D506" s="4"/>
      <c r="E506" s="4"/>
      <c r="F506" s="4"/>
      <c r="H506">
        <f t="shared" si="45"/>
        <v>0</v>
      </c>
      <c r="I506">
        <f t="shared" si="42"/>
        <v>0</v>
      </c>
      <c r="J506">
        <f t="shared" si="43"/>
        <v>0</v>
      </c>
      <c r="K506">
        <f t="shared" si="44"/>
        <v>0</v>
      </c>
      <c r="L506">
        <f t="shared" si="46"/>
        <v>0</v>
      </c>
      <c r="M506">
        <f t="shared" si="47"/>
        <v>0</v>
      </c>
    </row>
    <row r="507" spans="1:13" x14ac:dyDescent="0.25">
      <c r="A507" s="4"/>
      <c r="B507" s="4"/>
      <c r="C507" s="4"/>
      <c r="D507" s="4"/>
      <c r="E507" s="4"/>
      <c r="F507" s="4"/>
      <c r="H507">
        <f t="shared" si="45"/>
        <v>0</v>
      </c>
      <c r="I507">
        <f t="shared" si="42"/>
        <v>0</v>
      </c>
      <c r="J507">
        <f t="shared" si="43"/>
        <v>0</v>
      </c>
      <c r="K507">
        <f t="shared" si="44"/>
        <v>0</v>
      </c>
      <c r="L507">
        <f t="shared" si="46"/>
        <v>0</v>
      </c>
      <c r="M507">
        <f t="shared" si="47"/>
        <v>0</v>
      </c>
    </row>
    <row r="508" spans="1:13" x14ac:dyDescent="0.25">
      <c r="A508" s="4"/>
      <c r="B508" s="4"/>
      <c r="C508" s="4"/>
      <c r="D508" s="4"/>
      <c r="E508" s="4"/>
      <c r="F508" s="4"/>
      <c r="H508">
        <f t="shared" si="45"/>
        <v>0</v>
      </c>
      <c r="I508">
        <f t="shared" si="42"/>
        <v>0</v>
      </c>
      <c r="J508">
        <f t="shared" si="43"/>
        <v>0</v>
      </c>
      <c r="K508">
        <f t="shared" si="44"/>
        <v>0</v>
      </c>
      <c r="L508">
        <f t="shared" si="46"/>
        <v>0</v>
      </c>
      <c r="M508">
        <f t="shared" si="47"/>
        <v>0</v>
      </c>
    </row>
    <row r="509" spans="1:13" x14ac:dyDescent="0.25">
      <c r="A509" s="4"/>
      <c r="B509" s="4"/>
      <c r="C509" s="4"/>
      <c r="D509" s="4"/>
      <c r="E509" s="4"/>
      <c r="F509" s="4"/>
      <c r="H509">
        <f t="shared" si="45"/>
        <v>0</v>
      </c>
      <c r="I509">
        <f t="shared" si="42"/>
        <v>0</v>
      </c>
      <c r="J509">
        <f t="shared" si="43"/>
        <v>0</v>
      </c>
      <c r="K509">
        <f t="shared" si="44"/>
        <v>0</v>
      </c>
      <c r="L509">
        <f t="shared" si="46"/>
        <v>0</v>
      </c>
      <c r="M509">
        <f t="shared" si="47"/>
        <v>0</v>
      </c>
    </row>
    <row r="510" spans="1:13" x14ac:dyDescent="0.25">
      <c r="A510" s="4"/>
      <c r="B510" s="4"/>
      <c r="C510" s="4"/>
      <c r="D510" s="4"/>
      <c r="E510" s="4"/>
      <c r="F510" s="4"/>
      <c r="H510">
        <f t="shared" si="45"/>
        <v>0</v>
      </c>
      <c r="I510">
        <f t="shared" si="42"/>
        <v>0</v>
      </c>
      <c r="J510">
        <f t="shared" si="43"/>
        <v>0</v>
      </c>
      <c r="K510">
        <f t="shared" si="44"/>
        <v>0</v>
      </c>
      <c r="L510">
        <f t="shared" si="46"/>
        <v>0</v>
      </c>
      <c r="M510">
        <f t="shared" si="47"/>
        <v>0</v>
      </c>
    </row>
    <row r="511" spans="1:13" x14ac:dyDescent="0.25">
      <c r="A511" s="4"/>
      <c r="B511" s="4"/>
      <c r="C511" s="4"/>
      <c r="D511" s="4"/>
      <c r="E511" s="4"/>
      <c r="F511" s="4"/>
      <c r="H511">
        <f t="shared" si="45"/>
        <v>0</v>
      </c>
      <c r="I511">
        <f t="shared" si="42"/>
        <v>0</v>
      </c>
      <c r="J511">
        <f t="shared" si="43"/>
        <v>0</v>
      </c>
      <c r="K511">
        <f t="shared" si="44"/>
        <v>0</v>
      </c>
      <c r="L511">
        <f t="shared" si="46"/>
        <v>0</v>
      </c>
      <c r="M511">
        <f t="shared" si="47"/>
        <v>0</v>
      </c>
    </row>
    <row r="512" spans="1:13" x14ac:dyDescent="0.25">
      <c r="A512" s="4"/>
      <c r="B512" s="4"/>
      <c r="C512" s="4"/>
      <c r="D512" s="4"/>
      <c r="E512" s="4"/>
      <c r="F512" s="4"/>
      <c r="H512">
        <f t="shared" si="45"/>
        <v>0</v>
      </c>
      <c r="I512">
        <f t="shared" si="42"/>
        <v>0</v>
      </c>
      <c r="J512">
        <f t="shared" si="43"/>
        <v>0</v>
      </c>
      <c r="K512">
        <f t="shared" si="44"/>
        <v>0</v>
      </c>
      <c r="L512">
        <f t="shared" si="46"/>
        <v>0</v>
      </c>
      <c r="M512">
        <f t="shared" si="47"/>
        <v>0</v>
      </c>
    </row>
    <row r="513" spans="1:13" x14ac:dyDescent="0.25">
      <c r="A513" s="4"/>
      <c r="B513" s="4"/>
      <c r="C513" s="4"/>
      <c r="D513" s="4"/>
      <c r="E513" s="4"/>
      <c r="F513" s="4"/>
      <c r="H513">
        <f t="shared" si="45"/>
        <v>0</v>
      </c>
      <c r="I513">
        <f t="shared" si="42"/>
        <v>0</v>
      </c>
      <c r="J513">
        <f t="shared" si="43"/>
        <v>0</v>
      </c>
      <c r="K513">
        <f t="shared" si="44"/>
        <v>0</v>
      </c>
      <c r="L513">
        <f t="shared" si="46"/>
        <v>0</v>
      </c>
      <c r="M513">
        <f t="shared" si="47"/>
        <v>0</v>
      </c>
    </row>
    <row r="514" spans="1:13" x14ac:dyDescent="0.25">
      <c r="A514" s="4"/>
      <c r="B514" s="4"/>
      <c r="C514" s="4"/>
      <c r="D514" s="4"/>
      <c r="E514" s="4"/>
      <c r="F514" s="4"/>
      <c r="H514">
        <f t="shared" si="45"/>
        <v>0</v>
      </c>
      <c r="I514">
        <f t="shared" ref="I514:I577" si="48">C514*$I$1</f>
        <v>0</v>
      </c>
      <c r="J514">
        <f t="shared" ref="J514:J577" si="49">D514*$J$1</f>
        <v>0</v>
      </c>
      <c r="K514">
        <f t="shared" ref="K514:K577" si="50">E514*$K$1</f>
        <v>0</v>
      </c>
      <c r="L514">
        <f t="shared" si="46"/>
        <v>0</v>
      </c>
      <c r="M514">
        <f t="shared" si="47"/>
        <v>0</v>
      </c>
    </row>
    <row r="515" spans="1:13" x14ac:dyDescent="0.25">
      <c r="A515" s="4"/>
      <c r="B515" s="4"/>
      <c r="C515" s="4"/>
      <c r="D515" s="4"/>
      <c r="E515" s="4"/>
      <c r="F515" s="4"/>
      <c r="H515">
        <f t="shared" ref="H515:H578" si="51">B515*$H$1</f>
        <v>0</v>
      </c>
      <c r="I515">
        <f t="shared" si="48"/>
        <v>0</v>
      </c>
      <c r="J515">
        <f t="shared" si="49"/>
        <v>0</v>
      </c>
      <c r="K515">
        <f t="shared" si="50"/>
        <v>0</v>
      </c>
      <c r="L515">
        <f t="shared" ref="L515:L578" si="52">F515*$L$1</f>
        <v>0</v>
      </c>
      <c r="M515">
        <f t="shared" ref="M515:M578" si="53">SUM(H515:L515)</f>
        <v>0</v>
      </c>
    </row>
    <row r="516" spans="1:13" x14ac:dyDescent="0.25">
      <c r="A516" s="4"/>
      <c r="B516" s="4"/>
      <c r="C516" s="4"/>
      <c r="D516" s="4"/>
      <c r="E516" s="4"/>
      <c r="F516" s="4"/>
      <c r="H516">
        <f t="shared" si="51"/>
        <v>0</v>
      </c>
      <c r="I516">
        <f t="shared" si="48"/>
        <v>0</v>
      </c>
      <c r="J516">
        <f t="shared" si="49"/>
        <v>0</v>
      </c>
      <c r="K516">
        <f t="shared" si="50"/>
        <v>0</v>
      </c>
      <c r="L516">
        <f t="shared" si="52"/>
        <v>0</v>
      </c>
      <c r="M516">
        <f t="shared" si="53"/>
        <v>0</v>
      </c>
    </row>
    <row r="517" spans="1:13" x14ac:dyDescent="0.25">
      <c r="A517" s="4"/>
      <c r="B517" s="4"/>
      <c r="C517" s="4"/>
      <c r="D517" s="4"/>
      <c r="E517" s="4"/>
      <c r="F517" s="4"/>
      <c r="H517">
        <f t="shared" si="51"/>
        <v>0</v>
      </c>
      <c r="I517">
        <f t="shared" si="48"/>
        <v>0</v>
      </c>
      <c r="J517">
        <f t="shared" si="49"/>
        <v>0</v>
      </c>
      <c r="K517">
        <f t="shared" si="50"/>
        <v>0</v>
      </c>
      <c r="L517">
        <f t="shared" si="52"/>
        <v>0</v>
      </c>
      <c r="M517">
        <f t="shared" si="53"/>
        <v>0</v>
      </c>
    </row>
    <row r="518" spans="1:13" x14ac:dyDescent="0.25">
      <c r="A518" s="4"/>
      <c r="B518" s="4"/>
      <c r="C518" s="4"/>
      <c r="D518" s="4"/>
      <c r="E518" s="4"/>
      <c r="F518" s="4"/>
      <c r="H518">
        <f t="shared" si="51"/>
        <v>0</v>
      </c>
      <c r="I518">
        <f t="shared" si="48"/>
        <v>0</v>
      </c>
      <c r="J518">
        <f t="shared" si="49"/>
        <v>0</v>
      </c>
      <c r="K518">
        <f t="shared" si="50"/>
        <v>0</v>
      </c>
      <c r="L518">
        <f t="shared" si="52"/>
        <v>0</v>
      </c>
      <c r="M518">
        <f t="shared" si="53"/>
        <v>0</v>
      </c>
    </row>
    <row r="519" spans="1:13" x14ac:dyDescent="0.25">
      <c r="A519" s="4"/>
      <c r="B519" s="4"/>
      <c r="C519" s="4"/>
      <c r="D519" s="4"/>
      <c r="E519" s="4"/>
      <c r="F519" s="4"/>
      <c r="H519">
        <f t="shared" si="51"/>
        <v>0</v>
      </c>
      <c r="I519">
        <f t="shared" si="48"/>
        <v>0</v>
      </c>
      <c r="J519">
        <f t="shared" si="49"/>
        <v>0</v>
      </c>
      <c r="K519">
        <f t="shared" si="50"/>
        <v>0</v>
      </c>
      <c r="L519">
        <f t="shared" si="52"/>
        <v>0</v>
      </c>
      <c r="M519">
        <f t="shared" si="53"/>
        <v>0</v>
      </c>
    </row>
    <row r="520" spans="1:13" x14ac:dyDescent="0.25">
      <c r="A520" s="4"/>
      <c r="B520" s="4"/>
      <c r="C520" s="4"/>
      <c r="D520" s="4"/>
      <c r="E520" s="4"/>
      <c r="F520" s="4"/>
      <c r="H520">
        <f t="shared" si="51"/>
        <v>0</v>
      </c>
      <c r="I520">
        <f t="shared" si="48"/>
        <v>0</v>
      </c>
      <c r="J520">
        <f t="shared" si="49"/>
        <v>0</v>
      </c>
      <c r="K520">
        <f t="shared" si="50"/>
        <v>0</v>
      </c>
      <c r="L520">
        <f t="shared" si="52"/>
        <v>0</v>
      </c>
      <c r="M520">
        <f t="shared" si="53"/>
        <v>0</v>
      </c>
    </row>
    <row r="521" spans="1:13" x14ac:dyDescent="0.25">
      <c r="A521" s="4"/>
      <c r="B521" s="4"/>
      <c r="C521" s="4"/>
      <c r="D521" s="4"/>
      <c r="E521" s="4"/>
      <c r="F521" s="4"/>
      <c r="H521">
        <f t="shared" si="51"/>
        <v>0</v>
      </c>
      <c r="I521">
        <f t="shared" si="48"/>
        <v>0</v>
      </c>
      <c r="J521">
        <f t="shared" si="49"/>
        <v>0</v>
      </c>
      <c r="K521">
        <f t="shared" si="50"/>
        <v>0</v>
      </c>
      <c r="L521">
        <f t="shared" si="52"/>
        <v>0</v>
      </c>
      <c r="M521">
        <f t="shared" si="53"/>
        <v>0</v>
      </c>
    </row>
    <row r="522" spans="1:13" x14ac:dyDescent="0.25">
      <c r="A522" s="4"/>
      <c r="B522" s="4"/>
      <c r="C522" s="4"/>
      <c r="D522" s="4"/>
      <c r="E522" s="4"/>
      <c r="F522" s="4"/>
      <c r="H522">
        <f t="shared" si="51"/>
        <v>0</v>
      </c>
      <c r="I522">
        <f t="shared" si="48"/>
        <v>0</v>
      </c>
      <c r="J522">
        <f t="shared" si="49"/>
        <v>0</v>
      </c>
      <c r="K522">
        <f t="shared" si="50"/>
        <v>0</v>
      </c>
      <c r="L522">
        <f t="shared" si="52"/>
        <v>0</v>
      </c>
      <c r="M522">
        <f t="shared" si="53"/>
        <v>0</v>
      </c>
    </row>
    <row r="523" spans="1:13" x14ac:dyDescent="0.25">
      <c r="A523" s="4"/>
      <c r="B523" s="4"/>
      <c r="C523" s="4"/>
      <c r="D523" s="4"/>
      <c r="E523" s="4"/>
      <c r="F523" s="4"/>
      <c r="H523">
        <f t="shared" si="51"/>
        <v>0</v>
      </c>
      <c r="I523">
        <f t="shared" si="48"/>
        <v>0</v>
      </c>
      <c r="J523">
        <f t="shared" si="49"/>
        <v>0</v>
      </c>
      <c r="K523">
        <f t="shared" si="50"/>
        <v>0</v>
      </c>
      <c r="L523">
        <f t="shared" si="52"/>
        <v>0</v>
      </c>
      <c r="M523">
        <f t="shared" si="53"/>
        <v>0</v>
      </c>
    </row>
    <row r="524" spans="1:13" x14ac:dyDescent="0.25">
      <c r="A524" s="4"/>
      <c r="B524" s="4"/>
      <c r="C524" s="4"/>
      <c r="D524" s="4"/>
      <c r="E524" s="4"/>
      <c r="F524" s="4"/>
      <c r="H524">
        <f t="shared" si="51"/>
        <v>0</v>
      </c>
      <c r="I524">
        <f t="shared" si="48"/>
        <v>0</v>
      </c>
      <c r="J524">
        <f t="shared" si="49"/>
        <v>0</v>
      </c>
      <c r="K524">
        <f t="shared" si="50"/>
        <v>0</v>
      </c>
      <c r="L524">
        <f t="shared" si="52"/>
        <v>0</v>
      </c>
      <c r="M524">
        <f t="shared" si="53"/>
        <v>0</v>
      </c>
    </row>
    <row r="525" spans="1:13" x14ac:dyDescent="0.25">
      <c r="A525" s="4"/>
      <c r="B525" s="4"/>
      <c r="C525" s="4"/>
      <c r="D525" s="4"/>
      <c r="E525" s="4"/>
      <c r="F525" s="4"/>
      <c r="H525">
        <f t="shared" si="51"/>
        <v>0</v>
      </c>
      <c r="I525">
        <f t="shared" si="48"/>
        <v>0</v>
      </c>
      <c r="J525">
        <f t="shared" si="49"/>
        <v>0</v>
      </c>
      <c r="K525">
        <f t="shared" si="50"/>
        <v>0</v>
      </c>
      <c r="L525">
        <f t="shared" si="52"/>
        <v>0</v>
      </c>
      <c r="M525">
        <f t="shared" si="53"/>
        <v>0</v>
      </c>
    </row>
    <row r="526" spans="1:13" x14ac:dyDescent="0.25">
      <c r="A526" s="4"/>
      <c r="B526" s="4"/>
      <c r="C526" s="4"/>
      <c r="D526" s="4"/>
      <c r="E526" s="4"/>
      <c r="F526" s="4"/>
      <c r="H526">
        <f t="shared" si="51"/>
        <v>0</v>
      </c>
      <c r="I526">
        <f t="shared" si="48"/>
        <v>0</v>
      </c>
      <c r="J526">
        <f t="shared" si="49"/>
        <v>0</v>
      </c>
      <c r="K526">
        <f t="shared" si="50"/>
        <v>0</v>
      </c>
      <c r="L526">
        <f t="shared" si="52"/>
        <v>0</v>
      </c>
      <c r="M526">
        <f t="shared" si="53"/>
        <v>0</v>
      </c>
    </row>
    <row r="527" spans="1:13" x14ac:dyDescent="0.25">
      <c r="A527" s="4"/>
      <c r="B527" s="4"/>
      <c r="C527" s="4"/>
      <c r="D527" s="4"/>
      <c r="E527" s="4"/>
      <c r="F527" s="4"/>
      <c r="H527">
        <f t="shared" si="51"/>
        <v>0</v>
      </c>
      <c r="I527">
        <f t="shared" si="48"/>
        <v>0</v>
      </c>
      <c r="J527">
        <f t="shared" si="49"/>
        <v>0</v>
      </c>
      <c r="K527">
        <f t="shared" si="50"/>
        <v>0</v>
      </c>
      <c r="L527">
        <f t="shared" si="52"/>
        <v>0</v>
      </c>
      <c r="M527">
        <f t="shared" si="53"/>
        <v>0</v>
      </c>
    </row>
    <row r="528" spans="1:13" x14ac:dyDescent="0.25">
      <c r="A528" s="4"/>
      <c r="B528" s="4"/>
      <c r="C528" s="4"/>
      <c r="D528" s="4"/>
      <c r="E528" s="4"/>
      <c r="F528" s="4"/>
      <c r="H528">
        <f t="shared" si="51"/>
        <v>0</v>
      </c>
      <c r="I528">
        <f t="shared" si="48"/>
        <v>0</v>
      </c>
      <c r="J528">
        <f t="shared" si="49"/>
        <v>0</v>
      </c>
      <c r="K528">
        <f t="shared" si="50"/>
        <v>0</v>
      </c>
      <c r="L528">
        <f t="shared" si="52"/>
        <v>0</v>
      </c>
      <c r="M528">
        <f t="shared" si="53"/>
        <v>0</v>
      </c>
    </row>
    <row r="529" spans="1:13" x14ac:dyDescent="0.25">
      <c r="A529" s="4"/>
      <c r="B529" s="4"/>
      <c r="C529" s="4"/>
      <c r="D529" s="4"/>
      <c r="E529" s="4"/>
      <c r="F529" s="4"/>
      <c r="H529">
        <f t="shared" si="51"/>
        <v>0</v>
      </c>
      <c r="I529">
        <f t="shared" si="48"/>
        <v>0</v>
      </c>
      <c r="J529">
        <f t="shared" si="49"/>
        <v>0</v>
      </c>
      <c r="K529">
        <f t="shared" si="50"/>
        <v>0</v>
      </c>
      <c r="L529">
        <f t="shared" si="52"/>
        <v>0</v>
      </c>
      <c r="M529">
        <f t="shared" si="53"/>
        <v>0</v>
      </c>
    </row>
    <row r="530" spans="1:13" x14ac:dyDescent="0.25">
      <c r="A530" s="4"/>
      <c r="B530" s="4"/>
      <c r="C530" s="4"/>
      <c r="D530" s="4"/>
      <c r="E530" s="4"/>
      <c r="F530" s="4"/>
      <c r="H530">
        <f t="shared" si="51"/>
        <v>0</v>
      </c>
      <c r="I530">
        <f t="shared" si="48"/>
        <v>0</v>
      </c>
      <c r="J530">
        <f t="shared" si="49"/>
        <v>0</v>
      </c>
      <c r="K530">
        <f t="shared" si="50"/>
        <v>0</v>
      </c>
      <c r="L530">
        <f t="shared" si="52"/>
        <v>0</v>
      </c>
      <c r="M530">
        <f t="shared" si="53"/>
        <v>0</v>
      </c>
    </row>
    <row r="531" spans="1:13" x14ac:dyDescent="0.25">
      <c r="A531" s="4"/>
      <c r="B531" s="4"/>
      <c r="C531" s="4"/>
      <c r="D531" s="4"/>
      <c r="E531" s="4"/>
      <c r="F531" s="4"/>
      <c r="H531">
        <f t="shared" si="51"/>
        <v>0</v>
      </c>
      <c r="I531">
        <f t="shared" si="48"/>
        <v>0</v>
      </c>
      <c r="J531">
        <f t="shared" si="49"/>
        <v>0</v>
      </c>
      <c r="K531">
        <f t="shared" si="50"/>
        <v>0</v>
      </c>
      <c r="L531">
        <f t="shared" si="52"/>
        <v>0</v>
      </c>
      <c r="M531">
        <f t="shared" si="53"/>
        <v>0</v>
      </c>
    </row>
    <row r="532" spans="1:13" x14ac:dyDescent="0.25">
      <c r="A532" s="4"/>
      <c r="B532" s="4"/>
      <c r="C532" s="4"/>
      <c r="D532" s="4"/>
      <c r="E532" s="4"/>
      <c r="F532" s="4"/>
      <c r="H532">
        <f t="shared" si="51"/>
        <v>0</v>
      </c>
      <c r="I532">
        <f t="shared" si="48"/>
        <v>0</v>
      </c>
      <c r="J532">
        <f t="shared" si="49"/>
        <v>0</v>
      </c>
      <c r="K532">
        <f t="shared" si="50"/>
        <v>0</v>
      </c>
      <c r="L532">
        <f t="shared" si="52"/>
        <v>0</v>
      </c>
      <c r="M532">
        <f t="shared" si="53"/>
        <v>0</v>
      </c>
    </row>
    <row r="533" spans="1:13" x14ac:dyDescent="0.25">
      <c r="A533" s="4"/>
      <c r="B533" s="4"/>
      <c r="C533" s="4"/>
      <c r="D533" s="4"/>
      <c r="E533" s="4"/>
      <c r="F533" s="4"/>
      <c r="H533">
        <f t="shared" si="51"/>
        <v>0</v>
      </c>
      <c r="I533">
        <f t="shared" si="48"/>
        <v>0</v>
      </c>
      <c r="J533">
        <f t="shared" si="49"/>
        <v>0</v>
      </c>
      <c r="K533">
        <f t="shared" si="50"/>
        <v>0</v>
      </c>
      <c r="L533">
        <f t="shared" si="52"/>
        <v>0</v>
      </c>
      <c r="M533">
        <f t="shared" si="53"/>
        <v>0</v>
      </c>
    </row>
    <row r="534" spans="1:13" x14ac:dyDescent="0.25">
      <c r="A534" s="4"/>
      <c r="B534" s="4"/>
      <c r="C534" s="4"/>
      <c r="D534" s="4"/>
      <c r="E534" s="4"/>
      <c r="F534" s="4"/>
      <c r="H534">
        <f t="shared" si="51"/>
        <v>0</v>
      </c>
      <c r="I534">
        <f t="shared" si="48"/>
        <v>0</v>
      </c>
      <c r="J534">
        <f t="shared" si="49"/>
        <v>0</v>
      </c>
      <c r="K534">
        <f t="shared" si="50"/>
        <v>0</v>
      </c>
      <c r="L534">
        <f t="shared" si="52"/>
        <v>0</v>
      </c>
      <c r="M534">
        <f t="shared" si="53"/>
        <v>0</v>
      </c>
    </row>
    <row r="535" spans="1:13" x14ac:dyDescent="0.25">
      <c r="A535" s="4"/>
      <c r="B535" s="4"/>
      <c r="C535" s="4"/>
      <c r="D535" s="4"/>
      <c r="E535" s="4"/>
      <c r="F535" s="4"/>
      <c r="H535">
        <f t="shared" si="51"/>
        <v>0</v>
      </c>
      <c r="I535">
        <f t="shared" si="48"/>
        <v>0</v>
      </c>
      <c r="J535">
        <f t="shared" si="49"/>
        <v>0</v>
      </c>
      <c r="K535">
        <f t="shared" si="50"/>
        <v>0</v>
      </c>
      <c r="L535">
        <f t="shared" si="52"/>
        <v>0</v>
      </c>
      <c r="M535">
        <f t="shared" si="53"/>
        <v>0</v>
      </c>
    </row>
    <row r="536" spans="1:13" x14ac:dyDescent="0.25">
      <c r="A536" s="4"/>
      <c r="B536" s="4"/>
      <c r="C536" s="4"/>
      <c r="D536" s="4"/>
      <c r="E536" s="4"/>
      <c r="F536" s="4"/>
      <c r="H536">
        <f t="shared" si="51"/>
        <v>0</v>
      </c>
      <c r="I536">
        <f t="shared" si="48"/>
        <v>0</v>
      </c>
      <c r="J536">
        <f t="shared" si="49"/>
        <v>0</v>
      </c>
      <c r="K536">
        <f t="shared" si="50"/>
        <v>0</v>
      </c>
      <c r="L536">
        <f t="shared" si="52"/>
        <v>0</v>
      </c>
      <c r="M536">
        <f t="shared" si="53"/>
        <v>0</v>
      </c>
    </row>
    <row r="537" spans="1:13" x14ac:dyDescent="0.25">
      <c r="A537" s="4"/>
      <c r="B537" s="4"/>
      <c r="C537" s="4"/>
      <c r="D537" s="4"/>
      <c r="E537" s="4"/>
      <c r="F537" s="4"/>
      <c r="H537">
        <f t="shared" si="51"/>
        <v>0</v>
      </c>
      <c r="I537">
        <f t="shared" si="48"/>
        <v>0</v>
      </c>
      <c r="J537">
        <f t="shared" si="49"/>
        <v>0</v>
      </c>
      <c r="K537">
        <f t="shared" si="50"/>
        <v>0</v>
      </c>
      <c r="L537">
        <f t="shared" si="52"/>
        <v>0</v>
      </c>
      <c r="M537">
        <f t="shared" si="53"/>
        <v>0</v>
      </c>
    </row>
    <row r="538" spans="1:13" x14ac:dyDescent="0.25">
      <c r="A538" s="4"/>
      <c r="B538" s="4"/>
      <c r="C538" s="4"/>
      <c r="D538" s="4"/>
      <c r="E538" s="4"/>
      <c r="F538" s="4"/>
      <c r="H538">
        <f t="shared" si="51"/>
        <v>0</v>
      </c>
      <c r="I538">
        <f t="shared" si="48"/>
        <v>0</v>
      </c>
      <c r="J538">
        <f t="shared" si="49"/>
        <v>0</v>
      </c>
      <c r="K538">
        <f t="shared" si="50"/>
        <v>0</v>
      </c>
      <c r="L538">
        <f t="shared" si="52"/>
        <v>0</v>
      </c>
      <c r="M538">
        <f t="shared" si="53"/>
        <v>0</v>
      </c>
    </row>
    <row r="539" spans="1:13" x14ac:dyDescent="0.25">
      <c r="A539" s="4"/>
      <c r="B539" s="4"/>
      <c r="C539" s="4"/>
      <c r="D539" s="4"/>
      <c r="E539" s="4"/>
      <c r="F539" s="4"/>
      <c r="H539">
        <f t="shared" si="51"/>
        <v>0</v>
      </c>
      <c r="I539">
        <f t="shared" si="48"/>
        <v>0</v>
      </c>
      <c r="J539">
        <f t="shared" si="49"/>
        <v>0</v>
      </c>
      <c r="K539">
        <f t="shared" si="50"/>
        <v>0</v>
      </c>
      <c r="L539">
        <f t="shared" si="52"/>
        <v>0</v>
      </c>
      <c r="M539">
        <f t="shared" si="53"/>
        <v>0</v>
      </c>
    </row>
    <row r="540" spans="1:13" x14ac:dyDescent="0.25">
      <c r="A540" s="4"/>
      <c r="B540" s="4"/>
      <c r="C540" s="4"/>
      <c r="D540" s="4"/>
      <c r="E540" s="4"/>
      <c r="F540" s="4"/>
      <c r="H540">
        <f t="shared" si="51"/>
        <v>0</v>
      </c>
      <c r="I540">
        <f t="shared" si="48"/>
        <v>0</v>
      </c>
      <c r="J540">
        <f t="shared" si="49"/>
        <v>0</v>
      </c>
      <c r="K540">
        <f t="shared" si="50"/>
        <v>0</v>
      </c>
      <c r="L540">
        <f t="shared" si="52"/>
        <v>0</v>
      </c>
      <c r="M540">
        <f t="shared" si="53"/>
        <v>0</v>
      </c>
    </row>
    <row r="541" spans="1:13" x14ac:dyDescent="0.25">
      <c r="A541" s="4"/>
      <c r="B541" s="4"/>
      <c r="C541" s="4"/>
      <c r="D541" s="4"/>
      <c r="E541" s="4"/>
      <c r="F541" s="4"/>
      <c r="H541">
        <f t="shared" si="51"/>
        <v>0</v>
      </c>
      <c r="I541">
        <f t="shared" si="48"/>
        <v>0</v>
      </c>
      <c r="J541">
        <f t="shared" si="49"/>
        <v>0</v>
      </c>
      <c r="K541">
        <f t="shared" si="50"/>
        <v>0</v>
      </c>
      <c r="L541">
        <f t="shared" si="52"/>
        <v>0</v>
      </c>
      <c r="M541">
        <f t="shared" si="53"/>
        <v>0</v>
      </c>
    </row>
    <row r="542" spans="1:13" x14ac:dyDescent="0.25">
      <c r="A542" s="4"/>
      <c r="B542" s="4"/>
      <c r="C542" s="4"/>
      <c r="D542" s="4"/>
      <c r="E542" s="4"/>
      <c r="F542" s="4"/>
      <c r="H542">
        <f t="shared" si="51"/>
        <v>0</v>
      </c>
      <c r="I542">
        <f t="shared" si="48"/>
        <v>0</v>
      </c>
      <c r="J542">
        <f t="shared" si="49"/>
        <v>0</v>
      </c>
      <c r="K542">
        <f t="shared" si="50"/>
        <v>0</v>
      </c>
      <c r="L542">
        <f t="shared" si="52"/>
        <v>0</v>
      </c>
      <c r="M542">
        <f t="shared" si="53"/>
        <v>0</v>
      </c>
    </row>
    <row r="543" spans="1:13" x14ac:dyDescent="0.25">
      <c r="A543" s="4"/>
      <c r="B543" s="4"/>
      <c r="C543" s="4"/>
      <c r="D543" s="4"/>
      <c r="E543" s="4"/>
      <c r="F543" s="4"/>
      <c r="H543">
        <f t="shared" si="51"/>
        <v>0</v>
      </c>
      <c r="I543">
        <f t="shared" si="48"/>
        <v>0</v>
      </c>
      <c r="J543">
        <f t="shared" si="49"/>
        <v>0</v>
      </c>
      <c r="K543">
        <f t="shared" si="50"/>
        <v>0</v>
      </c>
      <c r="L543">
        <f t="shared" si="52"/>
        <v>0</v>
      </c>
      <c r="M543">
        <f t="shared" si="53"/>
        <v>0</v>
      </c>
    </row>
    <row r="544" spans="1:13" x14ac:dyDescent="0.25">
      <c r="A544" s="4"/>
      <c r="B544" s="4"/>
      <c r="C544" s="4"/>
      <c r="D544" s="4"/>
      <c r="E544" s="4"/>
      <c r="F544" s="4"/>
      <c r="H544">
        <f t="shared" si="51"/>
        <v>0</v>
      </c>
      <c r="I544">
        <f t="shared" si="48"/>
        <v>0</v>
      </c>
      <c r="J544">
        <f t="shared" si="49"/>
        <v>0</v>
      </c>
      <c r="K544">
        <f t="shared" si="50"/>
        <v>0</v>
      </c>
      <c r="L544">
        <f t="shared" si="52"/>
        <v>0</v>
      </c>
      <c r="M544">
        <f t="shared" si="53"/>
        <v>0</v>
      </c>
    </row>
    <row r="545" spans="1:13" x14ac:dyDescent="0.25">
      <c r="A545" s="4"/>
      <c r="B545" s="4"/>
      <c r="C545" s="4"/>
      <c r="D545" s="4"/>
      <c r="E545" s="4"/>
      <c r="F545" s="4"/>
      <c r="H545">
        <f t="shared" si="51"/>
        <v>0</v>
      </c>
      <c r="I545">
        <f t="shared" si="48"/>
        <v>0</v>
      </c>
      <c r="J545">
        <f t="shared" si="49"/>
        <v>0</v>
      </c>
      <c r="K545">
        <f t="shared" si="50"/>
        <v>0</v>
      </c>
      <c r="L545">
        <f t="shared" si="52"/>
        <v>0</v>
      </c>
      <c r="M545">
        <f t="shared" si="53"/>
        <v>0</v>
      </c>
    </row>
    <row r="546" spans="1:13" x14ac:dyDescent="0.25">
      <c r="A546" s="4"/>
      <c r="B546" s="4"/>
      <c r="C546" s="4"/>
      <c r="D546" s="4"/>
      <c r="E546" s="4"/>
      <c r="F546" s="4"/>
      <c r="H546">
        <f t="shared" si="51"/>
        <v>0</v>
      </c>
      <c r="I546">
        <f t="shared" si="48"/>
        <v>0</v>
      </c>
      <c r="J546">
        <f t="shared" si="49"/>
        <v>0</v>
      </c>
      <c r="K546">
        <f t="shared" si="50"/>
        <v>0</v>
      </c>
      <c r="L546">
        <f t="shared" si="52"/>
        <v>0</v>
      </c>
      <c r="M546">
        <f t="shared" si="53"/>
        <v>0</v>
      </c>
    </row>
    <row r="547" spans="1:13" x14ac:dyDescent="0.25">
      <c r="A547" s="4"/>
      <c r="B547" s="4"/>
      <c r="C547" s="4"/>
      <c r="D547" s="4"/>
      <c r="E547" s="4"/>
      <c r="F547" s="4"/>
      <c r="H547">
        <f t="shared" si="51"/>
        <v>0</v>
      </c>
      <c r="I547">
        <f t="shared" si="48"/>
        <v>0</v>
      </c>
      <c r="J547">
        <f t="shared" si="49"/>
        <v>0</v>
      </c>
      <c r="K547">
        <f t="shared" si="50"/>
        <v>0</v>
      </c>
      <c r="L547">
        <f t="shared" si="52"/>
        <v>0</v>
      </c>
      <c r="M547">
        <f t="shared" si="53"/>
        <v>0</v>
      </c>
    </row>
    <row r="548" spans="1:13" x14ac:dyDescent="0.25">
      <c r="A548" s="4"/>
      <c r="B548" s="4"/>
      <c r="C548" s="4"/>
      <c r="D548" s="4"/>
      <c r="E548" s="4"/>
      <c r="F548" s="4"/>
      <c r="H548">
        <f t="shared" si="51"/>
        <v>0</v>
      </c>
      <c r="I548">
        <f t="shared" si="48"/>
        <v>0</v>
      </c>
      <c r="J548">
        <f t="shared" si="49"/>
        <v>0</v>
      </c>
      <c r="K548">
        <f t="shared" si="50"/>
        <v>0</v>
      </c>
      <c r="L548">
        <f t="shared" si="52"/>
        <v>0</v>
      </c>
      <c r="M548">
        <f t="shared" si="53"/>
        <v>0</v>
      </c>
    </row>
    <row r="549" spans="1:13" x14ac:dyDescent="0.25">
      <c r="A549" s="4"/>
      <c r="B549" s="4"/>
      <c r="C549" s="4"/>
      <c r="D549" s="4"/>
      <c r="E549" s="4"/>
      <c r="F549" s="4"/>
      <c r="H549">
        <f t="shared" si="51"/>
        <v>0</v>
      </c>
      <c r="I549">
        <f t="shared" si="48"/>
        <v>0</v>
      </c>
      <c r="J549">
        <f t="shared" si="49"/>
        <v>0</v>
      </c>
      <c r="K549">
        <f t="shared" si="50"/>
        <v>0</v>
      </c>
      <c r="L549">
        <f t="shared" si="52"/>
        <v>0</v>
      </c>
      <c r="M549">
        <f t="shared" si="53"/>
        <v>0</v>
      </c>
    </row>
    <row r="550" spans="1:13" x14ac:dyDescent="0.25">
      <c r="A550" s="4"/>
      <c r="B550" s="4"/>
      <c r="C550" s="4"/>
      <c r="D550" s="4"/>
      <c r="E550" s="4"/>
      <c r="F550" s="4"/>
      <c r="H550">
        <f t="shared" si="51"/>
        <v>0</v>
      </c>
      <c r="I550">
        <f t="shared" si="48"/>
        <v>0</v>
      </c>
      <c r="J550">
        <f t="shared" si="49"/>
        <v>0</v>
      </c>
      <c r="K550">
        <f t="shared" si="50"/>
        <v>0</v>
      </c>
      <c r="L550">
        <f t="shared" si="52"/>
        <v>0</v>
      </c>
      <c r="M550">
        <f t="shared" si="53"/>
        <v>0</v>
      </c>
    </row>
    <row r="551" spans="1:13" x14ac:dyDescent="0.25">
      <c r="A551" s="4"/>
      <c r="B551" s="4"/>
      <c r="C551" s="4"/>
      <c r="D551" s="4"/>
      <c r="E551" s="4"/>
      <c r="F551" s="4"/>
      <c r="H551">
        <f t="shared" si="51"/>
        <v>0</v>
      </c>
      <c r="I551">
        <f t="shared" si="48"/>
        <v>0</v>
      </c>
      <c r="J551">
        <f t="shared" si="49"/>
        <v>0</v>
      </c>
      <c r="K551">
        <f t="shared" si="50"/>
        <v>0</v>
      </c>
      <c r="L551">
        <f t="shared" si="52"/>
        <v>0</v>
      </c>
      <c r="M551">
        <f t="shared" si="53"/>
        <v>0</v>
      </c>
    </row>
    <row r="552" spans="1:13" x14ac:dyDescent="0.25">
      <c r="A552" s="4"/>
      <c r="B552" s="4"/>
      <c r="C552" s="4"/>
      <c r="D552" s="4"/>
      <c r="E552" s="4"/>
      <c r="F552" s="4"/>
      <c r="H552">
        <f t="shared" si="51"/>
        <v>0</v>
      </c>
      <c r="I552">
        <f t="shared" si="48"/>
        <v>0</v>
      </c>
      <c r="J552">
        <f t="shared" si="49"/>
        <v>0</v>
      </c>
      <c r="K552">
        <f t="shared" si="50"/>
        <v>0</v>
      </c>
      <c r="L552">
        <f t="shared" si="52"/>
        <v>0</v>
      </c>
      <c r="M552">
        <f t="shared" si="53"/>
        <v>0</v>
      </c>
    </row>
    <row r="553" spans="1:13" x14ac:dyDescent="0.25">
      <c r="A553" s="4"/>
      <c r="B553" s="4"/>
      <c r="C553" s="4"/>
      <c r="D553" s="4"/>
      <c r="E553" s="4"/>
      <c r="F553" s="4"/>
      <c r="H553">
        <f t="shared" si="51"/>
        <v>0</v>
      </c>
      <c r="I553">
        <f t="shared" si="48"/>
        <v>0</v>
      </c>
      <c r="J553">
        <f t="shared" si="49"/>
        <v>0</v>
      </c>
      <c r="K553">
        <f t="shared" si="50"/>
        <v>0</v>
      </c>
      <c r="L553">
        <f t="shared" si="52"/>
        <v>0</v>
      </c>
      <c r="M553">
        <f t="shared" si="53"/>
        <v>0</v>
      </c>
    </row>
    <row r="554" spans="1:13" x14ac:dyDescent="0.25">
      <c r="A554" s="4"/>
      <c r="B554" s="4"/>
      <c r="C554" s="4"/>
      <c r="D554" s="4"/>
      <c r="E554" s="4"/>
      <c r="F554" s="4"/>
      <c r="H554">
        <f t="shared" si="51"/>
        <v>0</v>
      </c>
      <c r="I554">
        <f t="shared" si="48"/>
        <v>0</v>
      </c>
      <c r="J554">
        <f t="shared" si="49"/>
        <v>0</v>
      </c>
      <c r="K554">
        <f t="shared" si="50"/>
        <v>0</v>
      </c>
      <c r="L554">
        <f t="shared" si="52"/>
        <v>0</v>
      </c>
      <c r="M554">
        <f t="shared" si="53"/>
        <v>0</v>
      </c>
    </row>
    <row r="555" spans="1:13" x14ac:dyDescent="0.25">
      <c r="A555" s="4"/>
      <c r="B555" s="4"/>
      <c r="C555" s="4"/>
      <c r="D555" s="4"/>
      <c r="E555" s="4"/>
      <c r="F555" s="4"/>
      <c r="H555">
        <f t="shared" si="51"/>
        <v>0</v>
      </c>
      <c r="I555">
        <f t="shared" si="48"/>
        <v>0</v>
      </c>
      <c r="J555">
        <f t="shared" si="49"/>
        <v>0</v>
      </c>
      <c r="K555">
        <f t="shared" si="50"/>
        <v>0</v>
      </c>
      <c r="L555">
        <f t="shared" si="52"/>
        <v>0</v>
      </c>
      <c r="M555">
        <f t="shared" si="53"/>
        <v>0</v>
      </c>
    </row>
    <row r="556" spans="1:13" x14ac:dyDescent="0.25">
      <c r="A556" s="4"/>
      <c r="B556" s="4"/>
      <c r="C556" s="4"/>
      <c r="D556" s="4"/>
      <c r="E556" s="4"/>
      <c r="F556" s="4"/>
      <c r="H556">
        <f t="shared" si="51"/>
        <v>0</v>
      </c>
      <c r="I556">
        <f t="shared" si="48"/>
        <v>0</v>
      </c>
      <c r="J556">
        <f t="shared" si="49"/>
        <v>0</v>
      </c>
      <c r="K556">
        <f t="shared" si="50"/>
        <v>0</v>
      </c>
      <c r="L556">
        <f t="shared" si="52"/>
        <v>0</v>
      </c>
      <c r="M556">
        <f t="shared" si="53"/>
        <v>0</v>
      </c>
    </row>
    <row r="557" spans="1:13" x14ac:dyDescent="0.25">
      <c r="A557" s="4"/>
      <c r="B557" s="4"/>
      <c r="C557" s="4"/>
      <c r="D557" s="4"/>
      <c r="E557" s="4"/>
      <c r="F557" s="4"/>
      <c r="H557">
        <f t="shared" si="51"/>
        <v>0</v>
      </c>
      <c r="I557">
        <f t="shared" si="48"/>
        <v>0</v>
      </c>
      <c r="J557">
        <f t="shared" si="49"/>
        <v>0</v>
      </c>
      <c r="K557">
        <f t="shared" si="50"/>
        <v>0</v>
      </c>
      <c r="L557">
        <f t="shared" si="52"/>
        <v>0</v>
      </c>
      <c r="M557">
        <f t="shared" si="53"/>
        <v>0</v>
      </c>
    </row>
    <row r="558" spans="1:13" x14ac:dyDescent="0.25">
      <c r="A558" s="4"/>
      <c r="B558" s="4"/>
      <c r="C558" s="4"/>
      <c r="D558" s="4"/>
      <c r="E558" s="4"/>
      <c r="F558" s="4"/>
      <c r="H558">
        <f t="shared" si="51"/>
        <v>0</v>
      </c>
      <c r="I558">
        <f t="shared" si="48"/>
        <v>0</v>
      </c>
      <c r="J558">
        <f t="shared" si="49"/>
        <v>0</v>
      </c>
      <c r="K558">
        <f t="shared" si="50"/>
        <v>0</v>
      </c>
      <c r="L558">
        <f t="shared" si="52"/>
        <v>0</v>
      </c>
      <c r="M558">
        <f t="shared" si="53"/>
        <v>0</v>
      </c>
    </row>
    <row r="559" spans="1:13" x14ac:dyDescent="0.25">
      <c r="A559" s="4"/>
      <c r="B559" s="4"/>
      <c r="C559" s="4"/>
      <c r="D559" s="4"/>
      <c r="E559" s="4"/>
      <c r="F559" s="4"/>
      <c r="H559">
        <f t="shared" si="51"/>
        <v>0</v>
      </c>
      <c r="I559">
        <f t="shared" si="48"/>
        <v>0</v>
      </c>
      <c r="J559">
        <f t="shared" si="49"/>
        <v>0</v>
      </c>
      <c r="K559">
        <f t="shared" si="50"/>
        <v>0</v>
      </c>
      <c r="L559">
        <f t="shared" si="52"/>
        <v>0</v>
      </c>
      <c r="M559">
        <f t="shared" si="53"/>
        <v>0</v>
      </c>
    </row>
    <row r="560" spans="1:13" x14ac:dyDescent="0.25">
      <c r="A560" s="4"/>
      <c r="B560" s="4"/>
      <c r="C560" s="4"/>
      <c r="D560" s="4"/>
      <c r="E560" s="4"/>
      <c r="F560" s="4"/>
      <c r="H560">
        <f t="shared" si="51"/>
        <v>0</v>
      </c>
      <c r="I560">
        <f t="shared" si="48"/>
        <v>0</v>
      </c>
      <c r="J560">
        <f t="shared" si="49"/>
        <v>0</v>
      </c>
      <c r="K560">
        <f t="shared" si="50"/>
        <v>0</v>
      </c>
      <c r="L560">
        <f t="shared" si="52"/>
        <v>0</v>
      </c>
      <c r="M560">
        <f t="shared" si="53"/>
        <v>0</v>
      </c>
    </row>
    <row r="561" spans="1:13" x14ac:dyDescent="0.25">
      <c r="A561" s="4"/>
      <c r="B561" s="4"/>
      <c r="C561" s="4"/>
      <c r="D561" s="4"/>
      <c r="E561" s="4"/>
      <c r="F561" s="4"/>
      <c r="H561">
        <f t="shared" si="51"/>
        <v>0</v>
      </c>
      <c r="I561">
        <f t="shared" si="48"/>
        <v>0</v>
      </c>
      <c r="J561">
        <f t="shared" si="49"/>
        <v>0</v>
      </c>
      <c r="K561">
        <f t="shared" si="50"/>
        <v>0</v>
      </c>
      <c r="L561">
        <f t="shared" si="52"/>
        <v>0</v>
      </c>
      <c r="M561">
        <f t="shared" si="53"/>
        <v>0</v>
      </c>
    </row>
    <row r="562" spans="1:13" x14ac:dyDescent="0.25">
      <c r="H562">
        <f t="shared" si="51"/>
        <v>0</v>
      </c>
      <c r="I562">
        <f t="shared" si="48"/>
        <v>0</v>
      </c>
      <c r="J562">
        <f t="shared" si="49"/>
        <v>0</v>
      </c>
      <c r="K562">
        <f t="shared" si="50"/>
        <v>0</v>
      </c>
      <c r="L562">
        <f t="shared" si="52"/>
        <v>0</v>
      </c>
      <c r="M562">
        <f t="shared" si="53"/>
        <v>0</v>
      </c>
    </row>
    <row r="563" spans="1:13" x14ac:dyDescent="0.25">
      <c r="H563">
        <f t="shared" si="51"/>
        <v>0</v>
      </c>
      <c r="I563">
        <f t="shared" si="48"/>
        <v>0</v>
      </c>
      <c r="J563">
        <f t="shared" si="49"/>
        <v>0</v>
      </c>
      <c r="K563">
        <f t="shared" si="50"/>
        <v>0</v>
      </c>
      <c r="L563">
        <f t="shared" si="52"/>
        <v>0</v>
      </c>
      <c r="M563">
        <f t="shared" si="53"/>
        <v>0</v>
      </c>
    </row>
    <row r="564" spans="1:13" x14ac:dyDescent="0.25">
      <c r="H564">
        <f t="shared" si="51"/>
        <v>0</v>
      </c>
      <c r="I564">
        <f t="shared" si="48"/>
        <v>0</v>
      </c>
      <c r="J564">
        <f t="shared" si="49"/>
        <v>0</v>
      </c>
      <c r="K564">
        <f t="shared" si="50"/>
        <v>0</v>
      </c>
      <c r="L564">
        <f t="shared" si="52"/>
        <v>0</v>
      </c>
      <c r="M564">
        <f t="shared" si="53"/>
        <v>0</v>
      </c>
    </row>
    <row r="565" spans="1:13" x14ac:dyDescent="0.25">
      <c r="H565">
        <f t="shared" si="51"/>
        <v>0</v>
      </c>
      <c r="I565">
        <f t="shared" si="48"/>
        <v>0</v>
      </c>
      <c r="J565">
        <f t="shared" si="49"/>
        <v>0</v>
      </c>
      <c r="K565">
        <f t="shared" si="50"/>
        <v>0</v>
      </c>
      <c r="L565">
        <f t="shared" si="52"/>
        <v>0</v>
      </c>
      <c r="M565">
        <f t="shared" si="53"/>
        <v>0</v>
      </c>
    </row>
    <row r="566" spans="1:13" x14ac:dyDescent="0.25">
      <c r="H566">
        <f t="shared" si="51"/>
        <v>0</v>
      </c>
      <c r="I566">
        <f t="shared" si="48"/>
        <v>0</v>
      </c>
      <c r="J566">
        <f t="shared" si="49"/>
        <v>0</v>
      </c>
      <c r="K566">
        <f t="shared" si="50"/>
        <v>0</v>
      </c>
      <c r="L566">
        <f t="shared" si="52"/>
        <v>0</v>
      </c>
      <c r="M566">
        <f t="shared" si="53"/>
        <v>0</v>
      </c>
    </row>
    <row r="567" spans="1:13" x14ac:dyDescent="0.25">
      <c r="H567">
        <f t="shared" si="51"/>
        <v>0</v>
      </c>
      <c r="I567">
        <f t="shared" si="48"/>
        <v>0</v>
      </c>
      <c r="J567">
        <f t="shared" si="49"/>
        <v>0</v>
      </c>
      <c r="K567">
        <f t="shared" si="50"/>
        <v>0</v>
      </c>
      <c r="L567">
        <f t="shared" si="52"/>
        <v>0</v>
      </c>
      <c r="M567">
        <f t="shared" si="53"/>
        <v>0</v>
      </c>
    </row>
    <row r="568" spans="1:13" x14ac:dyDescent="0.25">
      <c r="H568">
        <f t="shared" si="51"/>
        <v>0</v>
      </c>
      <c r="I568">
        <f t="shared" si="48"/>
        <v>0</v>
      </c>
      <c r="J568">
        <f t="shared" si="49"/>
        <v>0</v>
      </c>
      <c r="K568">
        <f t="shared" si="50"/>
        <v>0</v>
      </c>
      <c r="L568">
        <f t="shared" si="52"/>
        <v>0</v>
      </c>
      <c r="M568">
        <f t="shared" si="53"/>
        <v>0</v>
      </c>
    </row>
    <row r="569" spans="1:13" x14ac:dyDescent="0.25">
      <c r="H569">
        <f t="shared" si="51"/>
        <v>0</v>
      </c>
      <c r="I569">
        <f t="shared" si="48"/>
        <v>0</v>
      </c>
      <c r="J569">
        <f t="shared" si="49"/>
        <v>0</v>
      </c>
      <c r="K569">
        <f t="shared" si="50"/>
        <v>0</v>
      </c>
      <c r="L569">
        <f t="shared" si="52"/>
        <v>0</v>
      </c>
      <c r="M569">
        <f t="shared" si="53"/>
        <v>0</v>
      </c>
    </row>
    <row r="570" spans="1:13" x14ac:dyDescent="0.25">
      <c r="H570">
        <f t="shared" si="51"/>
        <v>0</v>
      </c>
      <c r="I570">
        <f t="shared" si="48"/>
        <v>0</v>
      </c>
      <c r="J570">
        <f t="shared" si="49"/>
        <v>0</v>
      </c>
      <c r="K570">
        <f t="shared" si="50"/>
        <v>0</v>
      </c>
      <c r="L570">
        <f t="shared" si="52"/>
        <v>0</v>
      </c>
      <c r="M570">
        <f t="shared" si="53"/>
        <v>0</v>
      </c>
    </row>
    <row r="571" spans="1:13" x14ac:dyDescent="0.25">
      <c r="H571">
        <f t="shared" si="51"/>
        <v>0</v>
      </c>
      <c r="I571">
        <f t="shared" si="48"/>
        <v>0</v>
      </c>
      <c r="J571">
        <f t="shared" si="49"/>
        <v>0</v>
      </c>
      <c r="K571">
        <f t="shared" si="50"/>
        <v>0</v>
      </c>
      <c r="L571">
        <f t="shared" si="52"/>
        <v>0</v>
      </c>
      <c r="M571">
        <f t="shared" si="53"/>
        <v>0</v>
      </c>
    </row>
    <row r="572" spans="1:13" x14ac:dyDescent="0.25">
      <c r="H572">
        <f t="shared" si="51"/>
        <v>0</v>
      </c>
      <c r="I572">
        <f t="shared" si="48"/>
        <v>0</v>
      </c>
      <c r="J572">
        <f t="shared" si="49"/>
        <v>0</v>
      </c>
      <c r="K572">
        <f t="shared" si="50"/>
        <v>0</v>
      </c>
      <c r="L572">
        <f t="shared" si="52"/>
        <v>0</v>
      </c>
      <c r="M572">
        <f t="shared" si="53"/>
        <v>0</v>
      </c>
    </row>
    <row r="573" spans="1:13" x14ac:dyDescent="0.25">
      <c r="H573">
        <f t="shared" si="51"/>
        <v>0</v>
      </c>
      <c r="I573">
        <f t="shared" si="48"/>
        <v>0</v>
      </c>
      <c r="J573">
        <f t="shared" si="49"/>
        <v>0</v>
      </c>
      <c r="K573">
        <f t="shared" si="50"/>
        <v>0</v>
      </c>
      <c r="L573">
        <f t="shared" si="52"/>
        <v>0</v>
      </c>
      <c r="M573">
        <f t="shared" si="53"/>
        <v>0</v>
      </c>
    </row>
    <row r="574" spans="1:13" x14ac:dyDescent="0.25">
      <c r="H574">
        <f t="shared" si="51"/>
        <v>0</v>
      </c>
      <c r="I574">
        <f t="shared" si="48"/>
        <v>0</v>
      </c>
      <c r="J574">
        <f t="shared" si="49"/>
        <v>0</v>
      </c>
      <c r="K574">
        <f t="shared" si="50"/>
        <v>0</v>
      </c>
      <c r="L574">
        <f t="shared" si="52"/>
        <v>0</v>
      </c>
      <c r="M574">
        <f t="shared" si="53"/>
        <v>0</v>
      </c>
    </row>
    <row r="575" spans="1:13" x14ac:dyDescent="0.25">
      <c r="H575">
        <f t="shared" si="51"/>
        <v>0</v>
      </c>
      <c r="I575">
        <f t="shared" si="48"/>
        <v>0</v>
      </c>
      <c r="J575">
        <f t="shared" si="49"/>
        <v>0</v>
      </c>
      <c r="K575">
        <f t="shared" si="50"/>
        <v>0</v>
      </c>
      <c r="L575">
        <f t="shared" si="52"/>
        <v>0</v>
      </c>
      <c r="M575">
        <f t="shared" si="53"/>
        <v>0</v>
      </c>
    </row>
    <row r="576" spans="1:13" x14ac:dyDescent="0.25">
      <c r="H576">
        <f t="shared" si="51"/>
        <v>0</v>
      </c>
      <c r="I576">
        <f t="shared" si="48"/>
        <v>0</v>
      </c>
      <c r="J576">
        <f t="shared" si="49"/>
        <v>0</v>
      </c>
      <c r="K576">
        <f t="shared" si="50"/>
        <v>0</v>
      </c>
      <c r="L576">
        <f t="shared" si="52"/>
        <v>0</v>
      </c>
      <c r="M576">
        <f t="shared" si="53"/>
        <v>0</v>
      </c>
    </row>
    <row r="577" spans="8:13" x14ac:dyDescent="0.25">
      <c r="H577">
        <f t="shared" si="51"/>
        <v>0</v>
      </c>
      <c r="I577">
        <f t="shared" si="48"/>
        <v>0</v>
      </c>
      <c r="J577">
        <f t="shared" si="49"/>
        <v>0</v>
      </c>
      <c r="K577">
        <f t="shared" si="50"/>
        <v>0</v>
      </c>
      <c r="L577">
        <f t="shared" si="52"/>
        <v>0</v>
      </c>
      <c r="M577">
        <f t="shared" si="53"/>
        <v>0</v>
      </c>
    </row>
    <row r="578" spans="8:13" x14ac:dyDescent="0.25">
      <c r="H578">
        <f t="shared" si="51"/>
        <v>0</v>
      </c>
      <c r="I578">
        <f t="shared" ref="I578:I641" si="54">C578*$I$1</f>
        <v>0</v>
      </c>
      <c r="J578">
        <f t="shared" ref="J578:J641" si="55">D578*$J$1</f>
        <v>0</v>
      </c>
      <c r="K578">
        <f t="shared" ref="K578:K641" si="56">E578*$K$1</f>
        <v>0</v>
      </c>
      <c r="L578">
        <f t="shared" si="52"/>
        <v>0</v>
      </c>
      <c r="M578">
        <f t="shared" si="53"/>
        <v>0</v>
      </c>
    </row>
    <row r="579" spans="8:13" x14ac:dyDescent="0.25">
      <c r="H579">
        <f t="shared" ref="H579:H642" si="57">B579*$H$1</f>
        <v>0</v>
      </c>
      <c r="I579">
        <f t="shared" si="54"/>
        <v>0</v>
      </c>
      <c r="J579">
        <f t="shared" si="55"/>
        <v>0</v>
      </c>
      <c r="K579">
        <f t="shared" si="56"/>
        <v>0</v>
      </c>
      <c r="L579">
        <f t="shared" ref="L579:L642" si="58">F579*$L$1</f>
        <v>0</v>
      </c>
      <c r="M579">
        <f t="shared" ref="M579:M642" si="59">SUM(H579:L579)</f>
        <v>0</v>
      </c>
    </row>
    <row r="580" spans="8:13" x14ac:dyDescent="0.25">
      <c r="H580">
        <f t="shared" si="57"/>
        <v>0</v>
      </c>
      <c r="I580">
        <f t="shared" si="54"/>
        <v>0</v>
      </c>
      <c r="J580">
        <f t="shared" si="55"/>
        <v>0</v>
      </c>
      <c r="K580">
        <f t="shared" si="56"/>
        <v>0</v>
      </c>
      <c r="L580">
        <f t="shared" si="58"/>
        <v>0</v>
      </c>
      <c r="M580">
        <f t="shared" si="59"/>
        <v>0</v>
      </c>
    </row>
    <row r="581" spans="8:13" x14ac:dyDescent="0.25">
      <c r="H581">
        <f t="shared" si="57"/>
        <v>0</v>
      </c>
      <c r="I581">
        <f t="shared" si="54"/>
        <v>0</v>
      </c>
      <c r="J581">
        <f t="shared" si="55"/>
        <v>0</v>
      </c>
      <c r="K581">
        <f t="shared" si="56"/>
        <v>0</v>
      </c>
      <c r="L581">
        <f t="shared" si="58"/>
        <v>0</v>
      </c>
      <c r="M581">
        <f t="shared" si="59"/>
        <v>0</v>
      </c>
    </row>
    <row r="582" spans="8:13" x14ac:dyDescent="0.25">
      <c r="H582">
        <f t="shared" si="57"/>
        <v>0</v>
      </c>
      <c r="I582">
        <f t="shared" si="54"/>
        <v>0</v>
      </c>
      <c r="J582">
        <f t="shared" si="55"/>
        <v>0</v>
      </c>
      <c r="K582">
        <f t="shared" si="56"/>
        <v>0</v>
      </c>
      <c r="L582">
        <f t="shared" si="58"/>
        <v>0</v>
      </c>
      <c r="M582">
        <f t="shared" si="59"/>
        <v>0</v>
      </c>
    </row>
    <row r="583" spans="8:13" x14ac:dyDescent="0.25">
      <c r="H583">
        <f t="shared" si="57"/>
        <v>0</v>
      </c>
      <c r="I583">
        <f t="shared" si="54"/>
        <v>0</v>
      </c>
      <c r="J583">
        <f t="shared" si="55"/>
        <v>0</v>
      </c>
      <c r="K583">
        <f t="shared" si="56"/>
        <v>0</v>
      </c>
      <c r="L583">
        <f t="shared" si="58"/>
        <v>0</v>
      </c>
      <c r="M583">
        <f t="shared" si="59"/>
        <v>0</v>
      </c>
    </row>
    <row r="584" spans="8:13" x14ac:dyDescent="0.25">
      <c r="H584">
        <f t="shared" si="57"/>
        <v>0</v>
      </c>
      <c r="I584">
        <f t="shared" si="54"/>
        <v>0</v>
      </c>
      <c r="J584">
        <f t="shared" si="55"/>
        <v>0</v>
      </c>
      <c r="K584">
        <f t="shared" si="56"/>
        <v>0</v>
      </c>
      <c r="L584">
        <f t="shared" si="58"/>
        <v>0</v>
      </c>
      <c r="M584">
        <f t="shared" si="59"/>
        <v>0</v>
      </c>
    </row>
    <row r="585" spans="8:13" x14ac:dyDescent="0.25">
      <c r="H585">
        <f t="shared" si="57"/>
        <v>0</v>
      </c>
      <c r="I585">
        <f t="shared" si="54"/>
        <v>0</v>
      </c>
      <c r="J585">
        <f t="shared" si="55"/>
        <v>0</v>
      </c>
      <c r="K585">
        <f t="shared" si="56"/>
        <v>0</v>
      </c>
      <c r="L585">
        <f t="shared" si="58"/>
        <v>0</v>
      </c>
      <c r="M585">
        <f t="shared" si="59"/>
        <v>0</v>
      </c>
    </row>
    <row r="586" spans="8:13" x14ac:dyDescent="0.25">
      <c r="H586">
        <f t="shared" si="57"/>
        <v>0</v>
      </c>
      <c r="I586">
        <f t="shared" si="54"/>
        <v>0</v>
      </c>
      <c r="J586">
        <f t="shared" si="55"/>
        <v>0</v>
      </c>
      <c r="K586">
        <f t="shared" si="56"/>
        <v>0</v>
      </c>
      <c r="L586">
        <f t="shared" si="58"/>
        <v>0</v>
      </c>
      <c r="M586">
        <f t="shared" si="59"/>
        <v>0</v>
      </c>
    </row>
    <row r="587" spans="8:13" x14ac:dyDescent="0.25">
      <c r="H587">
        <f t="shared" si="57"/>
        <v>0</v>
      </c>
      <c r="I587">
        <f t="shared" si="54"/>
        <v>0</v>
      </c>
      <c r="J587">
        <f t="shared" si="55"/>
        <v>0</v>
      </c>
      <c r="K587">
        <f t="shared" si="56"/>
        <v>0</v>
      </c>
      <c r="L587">
        <f t="shared" si="58"/>
        <v>0</v>
      </c>
      <c r="M587">
        <f t="shared" si="59"/>
        <v>0</v>
      </c>
    </row>
    <row r="588" spans="8:13" x14ac:dyDescent="0.25">
      <c r="H588">
        <f t="shared" si="57"/>
        <v>0</v>
      </c>
      <c r="I588">
        <f t="shared" si="54"/>
        <v>0</v>
      </c>
      <c r="J588">
        <f t="shared" si="55"/>
        <v>0</v>
      </c>
      <c r="K588">
        <f t="shared" si="56"/>
        <v>0</v>
      </c>
      <c r="L588">
        <f t="shared" si="58"/>
        <v>0</v>
      </c>
      <c r="M588">
        <f t="shared" si="59"/>
        <v>0</v>
      </c>
    </row>
    <row r="589" spans="8:13" x14ac:dyDescent="0.25">
      <c r="H589">
        <f t="shared" si="57"/>
        <v>0</v>
      </c>
      <c r="I589">
        <f t="shared" si="54"/>
        <v>0</v>
      </c>
      <c r="J589">
        <f t="shared" si="55"/>
        <v>0</v>
      </c>
      <c r="K589">
        <f t="shared" si="56"/>
        <v>0</v>
      </c>
      <c r="L589">
        <f t="shared" si="58"/>
        <v>0</v>
      </c>
      <c r="M589">
        <f t="shared" si="59"/>
        <v>0</v>
      </c>
    </row>
    <row r="590" spans="8:13" x14ac:dyDescent="0.25">
      <c r="H590">
        <f t="shared" si="57"/>
        <v>0</v>
      </c>
      <c r="I590">
        <f t="shared" si="54"/>
        <v>0</v>
      </c>
      <c r="J590">
        <f t="shared" si="55"/>
        <v>0</v>
      </c>
      <c r="K590">
        <f t="shared" si="56"/>
        <v>0</v>
      </c>
      <c r="L590">
        <f t="shared" si="58"/>
        <v>0</v>
      </c>
      <c r="M590">
        <f t="shared" si="59"/>
        <v>0</v>
      </c>
    </row>
    <row r="591" spans="8:13" x14ac:dyDescent="0.25">
      <c r="H591">
        <f t="shared" si="57"/>
        <v>0</v>
      </c>
      <c r="I591">
        <f t="shared" si="54"/>
        <v>0</v>
      </c>
      <c r="J591">
        <f t="shared" si="55"/>
        <v>0</v>
      </c>
      <c r="K591">
        <f t="shared" si="56"/>
        <v>0</v>
      </c>
      <c r="L591">
        <f t="shared" si="58"/>
        <v>0</v>
      </c>
      <c r="M591">
        <f t="shared" si="59"/>
        <v>0</v>
      </c>
    </row>
    <row r="592" spans="8:13" x14ac:dyDescent="0.25">
      <c r="H592">
        <f t="shared" si="57"/>
        <v>0</v>
      </c>
      <c r="I592">
        <f t="shared" si="54"/>
        <v>0</v>
      </c>
      <c r="J592">
        <f t="shared" si="55"/>
        <v>0</v>
      </c>
      <c r="K592">
        <f t="shared" si="56"/>
        <v>0</v>
      </c>
      <c r="L592">
        <f t="shared" si="58"/>
        <v>0</v>
      </c>
      <c r="M592">
        <f t="shared" si="59"/>
        <v>0</v>
      </c>
    </row>
    <row r="593" spans="8:13" x14ac:dyDescent="0.25">
      <c r="H593">
        <f t="shared" si="57"/>
        <v>0</v>
      </c>
      <c r="I593">
        <f t="shared" si="54"/>
        <v>0</v>
      </c>
      <c r="J593">
        <f t="shared" si="55"/>
        <v>0</v>
      </c>
      <c r="K593">
        <f t="shared" si="56"/>
        <v>0</v>
      </c>
      <c r="L593">
        <f t="shared" si="58"/>
        <v>0</v>
      </c>
      <c r="M593">
        <f t="shared" si="59"/>
        <v>0</v>
      </c>
    </row>
    <row r="594" spans="8:13" x14ac:dyDescent="0.25">
      <c r="H594">
        <f t="shared" si="57"/>
        <v>0</v>
      </c>
      <c r="I594">
        <f t="shared" si="54"/>
        <v>0</v>
      </c>
      <c r="J594">
        <f t="shared" si="55"/>
        <v>0</v>
      </c>
      <c r="K594">
        <f t="shared" si="56"/>
        <v>0</v>
      </c>
      <c r="L594">
        <f t="shared" si="58"/>
        <v>0</v>
      </c>
      <c r="M594">
        <f t="shared" si="59"/>
        <v>0</v>
      </c>
    </row>
    <row r="595" spans="8:13" x14ac:dyDescent="0.25">
      <c r="H595">
        <f t="shared" si="57"/>
        <v>0</v>
      </c>
      <c r="I595">
        <f t="shared" si="54"/>
        <v>0</v>
      </c>
      <c r="J595">
        <f t="shared" si="55"/>
        <v>0</v>
      </c>
      <c r="K595">
        <f t="shared" si="56"/>
        <v>0</v>
      </c>
      <c r="L595">
        <f t="shared" si="58"/>
        <v>0</v>
      </c>
      <c r="M595">
        <f t="shared" si="59"/>
        <v>0</v>
      </c>
    </row>
    <row r="596" spans="8:13" x14ac:dyDescent="0.25">
      <c r="H596">
        <f t="shared" si="57"/>
        <v>0</v>
      </c>
      <c r="I596">
        <f t="shared" si="54"/>
        <v>0</v>
      </c>
      <c r="J596">
        <f t="shared" si="55"/>
        <v>0</v>
      </c>
      <c r="K596">
        <f t="shared" si="56"/>
        <v>0</v>
      </c>
      <c r="L596">
        <f t="shared" si="58"/>
        <v>0</v>
      </c>
      <c r="M596">
        <f t="shared" si="59"/>
        <v>0</v>
      </c>
    </row>
    <row r="597" spans="8:13" x14ac:dyDescent="0.25">
      <c r="H597">
        <f t="shared" si="57"/>
        <v>0</v>
      </c>
      <c r="I597">
        <f t="shared" si="54"/>
        <v>0</v>
      </c>
      <c r="J597">
        <f t="shared" si="55"/>
        <v>0</v>
      </c>
      <c r="K597">
        <f t="shared" si="56"/>
        <v>0</v>
      </c>
      <c r="L597">
        <f t="shared" si="58"/>
        <v>0</v>
      </c>
      <c r="M597">
        <f t="shared" si="59"/>
        <v>0</v>
      </c>
    </row>
    <row r="598" spans="8:13" x14ac:dyDescent="0.25">
      <c r="H598">
        <f t="shared" si="57"/>
        <v>0</v>
      </c>
      <c r="I598">
        <f t="shared" si="54"/>
        <v>0</v>
      </c>
      <c r="J598">
        <f t="shared" si="55"/>
        <v>0</v>
      </c>
      <c r="K598">
        <f t="shared" si="56"/>
        <v>0</v>
      </c>
      <c r="L598">
        <f t="shared" si="58"/>
        <v>0</v>
      </c>
      <c r="M598">
        <f t="shared" si="59"/>
        <v>0</v>
      </c>
    </row>
    <row r="599" spans="8:13" x14ac:dyDescent="0.25">
      <c r="H599">
        <f t="shared" si="57"/>
        <v>0</v>
      </c>
      <c r="I599">
        <f t="shared" si="54"/>
        <v>0</v>
      </c>
      <c r="J599">
        <f t="shared" si="55"/>
        <v>0</v>
      </c>
      <c r="K599">
        <f t="shared" si="56"/>
        <v>0</v>
      </c>
      <c r="L599">
        <f t="shared" si="58"/>
        <v>0</v>
      </c>
      <c r="M599">
        <f t="shared" si="59"/>
        <v>0</v>
      </c>
    </row>
    <row r="600" spans="8:13" x14ac:dyDescent="0.25">
      <c r="H600">
        <f t="shared" si="57"/>
        <v>0</v>
      </c>
      <c r="I600">
        <f t="shared" si="54"/>
        <v>0</v>
      </c>
      <c r="J600">
        <f t="shared" si="55"/>
        <v>0</v>
      </c>
      <c r="K600">
        <f t="shared" si="56"/>
        <v>0</v>
      </c>
      <c r="L600">
        <f t="shared" si="58"/>
        <v>0</v>
      </c>
      <c r="M600">
        <f t="shared" si="59"/>
        <v>0</v>
      </c>
    </row>
    <row r="601" spans="8:13" x14ac:dyDescent="0.25">
      <c r="H601">
        <f t="shared" si="57"/>
        <v>0</v>
      </c>
      <c r="I601">
        <f t="shared" si="54"/>
        <v>0</v>
      </c>
      <c r="J601">
        <f t="shared" si="55"/>
        <v>0</v>
      </c>
      <c r="K601">
        <f t="shared" si="56"/>
        <v>0</v>
      </c>
      <c r="L601">
        <f t="shared" si="58"/>
        <v>0</v>
      </c>
      <c r="M601">
        <f t="shared" si="59"/>
        <v>0</v>
      </c>
    </row>
    <row r="602" spans="8:13" x14ac:dyDescent="0.25">
      <c r="H602">
        <f t="shared" si="57"/>
        <v>0</v>
      </c>
      <c r="I602">
        <f t="shared" si="54"/>
        <v>0</v>
      </c>
      <c r="J602">
        <f t="shared" si="55"/>
        <v>0</v>
      </c>
      <c r="K602">
        <f t="shared" si="56"/>
        <v>0</v>
      </c>
      <c r="L602">
        <f t="shared" si="58"/>
        <v>0</v>
      </c>
      <c r="M602">
        <f t="shared" si="59"/>
        <v>0</v>
      </c>
    </row>
    <row r="603" spans="8:13" x14ac:dyDescent="0.25">
      <c r="H603">
        <f t="shared" si="57"/>
        <v>0</v>
      </c>
      <c r="I603">
        <f t="shared" si="54"/>
        <v>0</v>
      </c>
      <c r="J603">
        <f t="shared" si="55"/>
        <v>0</v>
      </c>
      <c r="K603">
        <f t="shared" si="56"/>
        <v>0</v>
      </c>
      <c r="L603">
        <f t="shared" si="58"/>
        <v>0</v>
      </c>
      <c r="M603">
        <f t="shared" si="59"/>
        <v>0</v>
      </c>
    </row>
    <row r="604" spans="8:13" x14ac:dyDescent="0.25">
      <c r="H604">
        <f t="shared" si="57"/>
        <v>0</v>
      </c>
      <c r="I604">
        <f t="shared" si="54"/>
        <v>0</v>
      </c>
      <c r="J604">
        <f t="shared" si="55"/>
        <v>0</v>
      </c>
      <c r="K604">
        <f t="shared" si="56"/>
        <v>0</v>
      </c>
      <c r="L604">
        <f t="shared" si="58"/>
        <v>0</v>
      </c>
      <c r="M604">
        <f t="shared" si="59"/>
        <v>0</v>
      </c>
    </row>
    <row r="605" spans="8:13" x14ac:dyDescent="0.25">
      <c r="H605">
        <f t="shared" si="57"/>
        <v>0</v>
      </c>
      <c r="I605">
        <f t="shared" si="54"/>
        <v>0</v>
      </c>
      <c r="J605">
        <f t="shared" si="55"/>
        <v>0</v>
      </c>
      <c r="K605">
        <f t="shared" si="56"/>
        <v>0</v>
      </c>
      <c r="L605">
        <f t="shared" si="58"/>
        <v>0</v>
      </c>
      <c r="M605">
        <f t="shared" si="59"/>
        <v>0</v>
      </c>
    </row>
    <row r="606" spans="8:13" x14ac:dyDescent="0.25">
      <c r="H606">
        <f t="shared" si="57"/>
        <v>0</v>
      </c>
      <c r="I606">
        <f t="shared" si="54"/>
        <v>0</v>
      </c>
      <c r="J606">
        <f t="shared" si="55"/>
        <v>0</v>
      </c>
      <c r="K606">
        <f t="shared" si="56"/>
        <v>0</v>
      </c>
      <c r="L606">
        <f t="shared" si="58"/>
        <v>0</v>
      </c>
      <c r="M606">
        <f t="shared" si="59"/>
        <v>0</v>
      </c>
    </row>
    <row r="607" spans="8:13" x14ac:dyDescent="0.25">
      <c r="H607">
        <f t="shared" si="57"/>
        <v>0</v>
      </c>
      <c r="I607">
        <f t="shared" si="54"/>
        <v>0</v>
      </c>
      <c r="J607">
        <f t="shared" si="55"/>
        <v>0</v>
      </c>
      <c r="K607">
        <f t="shared" si="56"/>
        <v>0</v>
      </c>
      <c r="L607">
        <f t="shared" si="58"/>
        <v>0</v>
      </c>
      <c r="M607">
        <f t="shared" si="59"/>
        <v>0</v>
      </c>
    </row>
    <row r="608" spans="8:13" x14ac:dyDescent="0.25">
      <c r="H608">
        <f t="shared" si="57"/>
        <v>0</v>
      </c>
      <c r="I608">
        <f t="shared" si="54"/>
        <v>0</v>
      </c>
      <c r="J608">
        <f t="shared" si="55"/>
        <v>0</v>
      </c>
      <c r="K608">
        <f t="shared" si="56"/>
        <v>0</v>
      </c>
      <c r="L608">
        <f t="shared" si="58"/>
        <v>0</v>
      </c>
      <c r="M608">
        <f t="shared" si="59"/>
        <v>0</v>
      </c>
    </row>
    <row r="609" spans="8:13" x14ac:dyDescent="0.25">
      <c r="H609">
        <f t="shared" si="57"/>
        <v>0</v>
      </c>
      <c r="I609">
        <f t="shared" si="54"/>
        <v>0</v>
      </c>
      <c r="J609">
        <f t="shared" si="55"/>
        <v>0</v>
      </c>
      <c r="K609">
        <f t="shared" si="56"/>
        <v>0</v>
      </c>
      <c r="L609">
        <f t="shared" si="58"/>
        <v>0</v>
      </c>
      <c r="M609">
        <f t="shared" si="59"/>
        <v>0</v>
      </c>
    </row>
    <row r="610" spans="8:13" x14ac:dyDescent="0.25">
      <c r="H610">
        <f t="shared" si="57"/>
        <v>0</v>
      </c>
      <c r="I610">
        <f t="shared" si="54"/>
        <v>0</v>
      </c>
      <c r="J610">
        <f t="shared" si="55"/>
        <v>0</v>
      </c>
      <c r="K610">
        <f t="shared" si="56"/>
        <v>0</v>
      </c>
      <c r="L610">
        <f t="shared" si="58"/>
        <v>0</v>
      </c>
      <c r="M610">
        <f t="shared" si="59"/>
        <v>0</v>
      </c>
    </row>
    <row r="611" spans="8:13" x14ac:dyDescent="0.25">
      <c r="H611">
        <f t="shared" si="57"/>
        <v>0</v>
      </c>
      <c r="I611">
        <f t="shared" si="54"/>
        <v>0</v>
      </c>
      <c r="J611">
        <f t="shared" si="55"/>
        <v>0</v>
      </c>
      <c r="K611">
        <f t="shared" si="56"/>
        <v>0</v>
      </c>
      <c r="L611">
        <f t="shared" si="58"/>
        <v>0</v>
      </c>
      <c r="M611">
        <f t="shared" si="59"/>
        <v>0</v>
      </c>
    </row>
    <row r="612" spans="8:13" x14ac:dyDescent="0.25">
      <c r="H612">
        <f t="shared" si="57"/>
        <v>0</v>
      </c>
      <c r="I612">
        <f t="shared" si="54"/>
        <v>0</v>
      </c>
      <c r="J612">
        <f t="shared" si="55"/>
        <v>0</v>
      </c>
      <c r="K612">
        <f t="shared" si="56"/>
        <v>0</v>
      </c>
      <c r="L612">
        <f t="shared" si="58"/>
        <v>0</v>
      </c>
      <c r="M612">
        <f t="shared" si="59"/>
        <v>0</v>
      </c>
    </row>
    <row r="613" spans="8:13" x14ac:dyDescent="0.25">
      <c r="H613">
        <f t="shared" si="57"/>
        <v>0</v>
      </c>
      <c r="I613">
        <f t="shared" si="54"/>
        <v>0</v>
      </c>
      <c r="J613">
        <f t="shared" si="55"/>
        <v>0</v>
      </c>
      <c r="K613">
        <f t="shared" si="56"/>
        <v>0</v>
      </c>
      <c r="L613">
        <f t="shared" si="58"/>
        <v>0</v>
      </c>
      <c r="M613">
        <f t="shared" si="59"/>
        <v>0</v>
      </c>
    </row>
    <row r="614" spans="8:13" x14ac:dyDescent="0.25">
      <c r="H614">
        <f t="shared" si="57"/>
        <v>0</v>
      </c>
      <c r="I614">
        <f t="shared" si="54"/>
        <v>0</v>
      </c>
      <c r="J614">
        <f t="shared" si="55"/>
        <v>0</v>
      </c>
      <c r="K614">
        <f t="shared" si="56"/>
        <v>0</v>
      </c>
      <c r="L614">
        <f t="shared" si="58"/>
        <v>0</v>
      </c>
      <c r="M614">
        <f t="shared" si="59"/>
        <v>0</v>
      </c>
    </row>
    <row r="615" spans="8:13" x14ac:dyDescent="0.25">
      <c r="H615">
        <f t="shared" si="57"/>
        <v>0</v>
      </c>
      <c r="I615">
        <f t="shared" si="54"/>
        <v>0</v>
      </c>
      <c r="J615">
        <f t="shared" si="55"/>
        <v>0</v>
      </c>
      <c r="K615">
        <f t="shared" si="56"/>
        <v>0</v>
      </c>
      <c r="L615">
        <f t="shared" si="58"/>
        <v>0</v>
      </c>
      <c r="M615">
        <f t="shared" si="59"/>
        <v>0</v>
      </c>
    </row>
    <row r="616" spans="8:13" x14ac:dyDescent="0.25">
      <c r="H616">
        <f t="shared" si="57"/>
        <v>0</v>
      </c>
      <c r="I616">
        <f t="shared" si="54"/>
        <v>0</v>
      </c>
      <c r="J616">
        <f t="shared" si="55"/>
        <v>0</v>
      </c>
      <c r="K616">
        <f t="shared" si="56"/>
        <v>0</v>
      </c>
      <c r="L616">
        <f t="shared" si="58"/>
        <v>0</v>
      </c>
      <c r="M616">
        <f t="shared" si="59"/>
        <v>0</v>
      </c>
    </row>
    <row r="617" spans="8:13" x14ac:dyDescent="0.25">
      <c r="H617">
        <f t="shared" si="57"/>
        <v>0</v>
      </c>
      <c r="I617">
        <f t="shared" si="54"/>
        <v>0</v>
      </c>
      <c r="J617">
        <f t="shared" si="55"/>
        <v>0</v>
      </c>
      <c r="K617">
        <f t="shared" si="56"/>
        <v>0</v>
      </c>
      <c r="L617">
        <f t="shared" si="58"/>
        <v>0</v>
      </c>
      <c r="M617">
        <f t="shared" si="59"/>
        <v>0</v>
      </c>
    </row>
    <row r="618" spans="8:13" x14ac:dyDescent="0.25">
      <c r="H618">
        <f t="shared" si="57"/>
        <v>0</v>
      </c>
      <c r="I618">
        <f t="shared" si="54"/>
        <v>0</v>
      </c>
      <c r="J618">
        <f t="shared" si="55"/>
        <v>0</v>
      </c>
      <c r="K618">
        <f t="shared" si="56"/>
        <v>0</v>
      </c>
      <c r="L618">
        <f t="shared" si="58"/>
        <v>0</v>
      </c>
      <c r="M618">
        <f t="shared" si="59"/>
        <v>0</v>
      </c>
    </row>
    <row r="619" spans="8:13" x14ac:dyDescent="0.25">
      <c r="H619">
        <f t="shared" si="57"/>
        <v>0</v>
      </c>
      <c r="I619">
        <f t="shared" si="54"/>
        <v>0</v>
      </c>
      <c r="J619">
        <f t="shared" si="55"/>
        <v>0</v>
      </c>
      <c r="K619">
        <f t="shared" si="56"/>
        <v>0</v>
      </c>
      <c r="L619">
        <f t="shared" si="58"/>
        <v>0</v>
      </c>
      <c r="M619">
        <f t="shared" si="59"/>
        <v>0</v>
      </c>
    </row>
    <row r="620" spans="8:13" x14ac:dyDescent="0.25">
      <c r="H620">
        <f t="shared" si="57"/>
        <v>0</v>
      </c>
      <c r="I620">
        <f t="shared" si="54"/>
        <v>0</v>
      </c>
      <c r="J620">
        <f t="shared" si="55"/>
        <v>0</v>
      </c>
      <c r="K620">
        <f t="shared" si="56"/>
        <v>0</v>
      </c>
      <c r="L620">
        <f t="shared" si="58"/>
        <v>0</v>
      </c>
      <c r="M620">
        <f t="shared" si="59"/>
        <v>0</v>
      </c>
    </row>
    <row r="621" spans="8:13" x14ac:dyDescent="0.25">
      <c r="H621">
        <f t="shared" si="57"/>
        <v>0</v>
      </c>
      <c r="I621">
        <f t="shared" si="54"/>
        <v>0</v>
      </c>
      <c r="J621">
        <f t="shared" si="55"/>
        <v>0</v>
      </c>
      <c r="K621">
        <f t="shared" si="56"/>
        <v>0</v>
      </c>
      <c r="L621">
        <f t="shared" si="58"/>
        <v>0</v>
      </c>
      <c r="M621">
        <f t="shared" si="59"/>
        <v>0</v>
      </c>
    </row>
    <row r="622" spans="8:13" x14ac:dyDescent="0.25">
      <c r="H622">
        <f t="shared" si="57"/>
        <v>0</v>
      </c>
      <c r="I622">
        <f t="shared" si="54"/>
        <v>0</v>
      </c>
      <c r="J622">
        <f t="shared" si="55"/>
        <v>0</v>
      </c>
      <c r="K622">
        <f t="shared" si="56"/>
        <v>0</v>
      </c>
      <c r="L622">
        <f t="shared" si="58"/>
        <v>0</v>
      </c>
      <c r="M622">
        <f t="shared" si="59"/>
        <v>0</v>
      </c>
    </row>
    <row r="623" spans="8:13" x14ac:dyDescent="0.25">
      <c r="H623">
        <f t="shared" si="57"/>
        <v>0</v>
      </c>
      <c r="I623">
        <f t="shared" si="54"/>
        <v>0</v>
      </c>
      <c r="J623">
        <f t="shared" si="55"/>
        <v>0</v>
      </c>
      <c r="K623">
        <f t="shared" si="56"/>
        <v>0</v>
      </c>
      <c r="L623">
        <f t="shared" si="58"/>
        <v>0</v>
      </c>
      <c r="M623">
        <f t="shared" si="59"/>
        <v>0</v>
      </c>
    </row>
    <row r="624" spans="8:13" x14ac:dyDescent="0.25">
      <c r="H624">
        <f t="shared" si="57"/>
        <v>0</v>
      </c>
      <c r="I624">
        <f t="shared" si="54"/>
        <v>0</v>
      </c>
      <c r="J624">
        <f t="shared" si="55"/>
        <v>0</v>
      </c>
      <c r="K624">
        <f t="shared" si="56"/>
        <v>0</v>
      </c>
      <c r="L624">
        <f t="shared" si="58"/>
        <v>0</v>
      </c>
      <c r="M624">
        <f t="shared" si="59"/>
        <v>0</v>
      </c>
    </row>
    <row r="625" spans="8:13" x14ac:dyDescent="0.25">
      <c r="H625">
        <f t="shared" si="57"/>
        <v>0</v>
      </c>
      <c r="I625">
        <f t="shared" si="54"/>
        <v>0</v>
      </c>
      <c r="J625">
        <f t="shared" si="55"/>
        <v>0</v>
      </c>
      <c r="K625">
        <f t="shared" si="56"/>
        <v>0</v>
      </c>
      <c r="L625">
        <f t="shared" si="58"/>
        <v>0</v>
      </c>
      <c r="M625">
        <f t="shared" si="59"/>
        <v>0</v>
      </c>
    </row>
    <row r="626" spans="8:13" x14ac:dyDescent="0.25">
      <c r="H626">
        <f t="shared" si="57"/>
        <v>0</v>
      </c>
      <c r="I626">
        <f t="shared" si="54"/>
        <v>0</v>
      </c>
      <c r="J626">
        <f t="shared" si="55"/>
        <v>0</v>
      </c>
      <c r="K626">
        <f t="shared" si="56"/>
        <v>0</v>
      </c>
      <c r="L626">
        <f t="shared" si="58"/>
        <v>0</v>
      </c>
      <c r="M626">
        <f t="shared" si="59"/>
        <v>0</v>
      </c>
    </row>
    <row r="627" spans="8:13" x14ac:dyDescent="0.25">
      <c r="H627">
        <f t="shared" si="57"/>
        <v>0</v>
      </c>
      <c r="I627">
        <f t="shared" si="54"/>
        <v>0</v>
      </c>
      <c r="J627">
        <f t="shared" si="55"/>
        <v>0</v>
      </c>
      <c r="K627">
        <f t="shared" si="56"/>
        <v>0</v>
      </c>
      <c r="L627">
        <f t="shared" si="58"/>
        <v>0</v>
      </c>
      <c r="M627">
        <f t="shared" si="59"/>
        <v>0</v>
      </c>
    </row>
    <row r="628" spans="8:13" x14ac:dyDescent="0.25">
      <c r="H628">
        <f t="shared" si="57"/>
        <v>0</v>
      </c>
      <c r="I628">
        <f t="shared" si="54"/>
        <v>0</v>
      </c>
      <c r="J628">
        <f t="shared" si="55"/>
        <v>0</v>
      </c>
      <c r="K628">
        <f t="shared" si="56"/>
        <v>0</v>
      </c>
      <c r="L628">
        <f t="shared" si="58"/>
        <v>0</v>
      </c>
      <c r="M628">
        <f t="shared" si="59"/>
        <v>0</v>
      </c>
    </row>
    <row r="629" spans="8:13" x14ac:dyDescent="0.25">
      <c r="H629">
        <f t="shared" si="57"/>
        <v>0</v>
      </c>
      <c r="I629">
        <f t="shared" si="54"/>
        <v>0</v>
      </c>
      <c r="J629">
        <f t="shared" si="55"/>
        <v>0</v>
      </c>
      <c r="K629">
        <f t="shared" si="56"/>
        <v>0</v>
      </c>
      <c r="L629">
        <f t="shared" si="58"/>
        <v>0</v>
      </c>
      <c r="M629">
        <f t="shared" si="59"/>
        <v>0</v>
      </c>
    </row>
    <row r="630" spans="8:13" x14ac:dyDescent="0.25">
      <c r="H630">
        <f t="shared" si="57"/>
        <v>0</v>
      </c>
      <c r="I630">
        <f t="shared" si="54"/>
        <v>0</v>
      </c>
      <c r="J630">
        <f t="shared" si="55"/>
        <v>0</v>
      </c>
      <c r="K630">
        <f t="shared" si="56"/>
        <v>0</v>
      </c>
      <c r="L630">
        <f t="shared" si="58"/>
        <v>0</v>
      </c>
      <c r="M630">
        <f t="shared" si="59"/>
        <v>0</v>
      </c>
    </row>
    <row r="631" spans="8:13" x14ac:dyDescent="0.25">
      <c r="H631">
        <f t="shared" si="57"/>
        <v>0</v>
      </c>
      <c r="I631">
        <f t="shared" si="54"/>
        <v>0</v>
      </c>
      <c r="J631">
        <f t="shared" si="55"/>
        <v>0</v>
      </c>
      <c r="K631">
        <f t="shared" si="56"/>
        <v>0</v>
      </c>
      <c r="L631">
        <f t="shared" si="58"/>
        <v>0</v>
      </c>
      <c r="M631">
        <f t="shared" si="59"/>
        <v>0</v>
      </c>
    </row>
    <row r="632" spans="8:13" x14ac:dyDescent="0.25">
      <c r="H632">
        <f t="shared" si="57"/>
        <v>0</v>
      </c>
      <c r="I632">
        <f t="shared" si="54"/>
        <v>0</v>
      </c>
      <c r="J632">
        <f t="shared" si="55"/>
        <v>0</v>
      </c>
      <c r="K632">
        <f t="shared" si="56"/>
        <v>0</v>
      </c>
      <c r="L632">
        <f t="shared" si="58"/>
        <v>0</v>
      </c>
      <c r="M632">
        <f t="shared" si="59"/>
        <v>0</v>
      </c>
    </row>
    <row r="633" spans="8:13" x14ac:dyDescent="0.25">
      <c r="H633">
        <f t="shared" si="57"/>
        <v>0</v>
      </c>
      <c r="I633">
        <f t="shared" si="54"/>
        <v>0</v>
      </c>
      <c r="J633">
        <f t="shared" si="55"/>
        <v>0</v>
      </c>
      <c r="K633">
        <f t="shared" si="56"/>
        <v>0</v>
      </c>
      <c r="L633">
        <f t="shared" si="58"/>
        <v>0</v>
      </c>
      <c r="M633">
        <f t="shared" si="59"/>
        <v>0</v>
      </c>
    </row>
    <row r="634" spans="8:13" x14ac:dyDescent="0.25">
      <c r="H634">
        <f t="shared" si="57"/>
        <v>0</v>
      </c>
      <c r="I634">
        <f t="shared" si="54"/>
        <v>0</v>
      </c>
      <c r="J634">
        <f t="shared" si="55"/>
        <v>0</v>
      </c>
      <c r="K634">
        <f t="shared" si="56"/>
        <v>0</v>
      </c>
      <c r="L634">
        <f t="shared" si="58"/>
        <v>0</v>
      </c>
      <c r="M634">
        <f t="shared" si="59"/>
        <v>0</v>
      </c>
    </row>
    <row r="635" spans="8:13" x14ac:dyDescent="0.25">
      <c r="H635">
        <f t="shared" si="57"/>
        <v>0</v>
      </c>
      <c r="I635">
        <f t="shared" si="54"/>
        <v>0</v>
      </c>
      <c r="J635">
        <f t="shared" si="55"/>
        <v>0</v>
      </c>
      <c r="K635">
        <f t="shared" si="56"/>
        <v>0</v>
      </c>
      <c r="L635">
        <f t="shared" si="58"/>
        <v>0</v>
      </c>
      <c r="M635">
        <f t="shared" si="59"/>
        <v>0</v>
      </c>
    </row>
    <row r="636" spans="8:13" x14ac:dyDescent="0.25">
      <c r="H636">
        <f t="shared" si="57"/>
        <v>0</v>
      </c>
      <c r="I636">
        <f t="shared" si="54"/>
        <v>0</v>
      </c>
      <c r="J636">
        <f t="shared" si="55"/>
        <v>0</v>
      </c>
      <c r="K636">
        <f t="shared" si="56"/>
        <v>0</v>
      </c>
      <c r="L636">
        <f t="shared" si="58"/>
        <v>0</v>
      </c>
      <c r="M636">
        <f t="shared" si="59"/>
        <v>0</v>
      </c>
    </row>
    <row r="637" spans="8:13" x14ac:dyDescent="0.25">
      <c r="H637">
        <f t="shared" si="57"/>
        <v>0</v>
      </c>
      <c r="I637">
        <f t="shared" si="54"/>
        <v>0</v>
      </c>
      <c r="J637">
        <f t="shared" si="55"/>
        <v>0</v>
      </c>
      <c r="K637">
        <f t="shared" si="56"/>
        <v>0</v>
      </c>
      <c r="L637">
        <f t="shared" si="58"/>
        <v>0</v>
      </c>
      <c r="M637">
        <f t="shared" si="59"/>
        <v>0</v>
      </c>
    </row>
    <row r="638" spans="8:13" x14ac:dyDescent="0.25">
      <c r="H638">
        <f t="shared" si="57"/>
        <v>0</v>
      </c>
      <c r="I638">
        <f t="shared" si="54"/>
        <v>0</v>
      </c>
      <c r="J638">
        <f t="shared" si="55"/>
        <v>0</v>
      </c>
      <c r="K638">
        <f t="shared" si="56"/>
        <v>0</v>
      </c>
      <c r="L638">
        <f t="shared" si="58"/>
        <v>0</v>
      </c>
      <c r="M638">
        <f t="shared" si="59"/>
        <v>0</v>
      </c>
    </row>
    <row r="639" spans="8:13" x14ac:dyDescent="0.25">
      <c r="H639">
        <f t="shared" si="57"/>
        <v>0</v>
      </c>
      <c r="I639">
        <f t="shared" si="54"/>
        <v>0</v>
      </c>
      <c r="J639">
        <f t="shared" si="55"/>
        <v>0</v>
      </c>
      <c r="K639">
        <f t="shared" si="56"/>
        <v>0</v>
      </c>
      <c r="L639">
        <f t="shared" si="58"/>
        <v>0</v>
      </c>
      <c r="M639">
        <f t="shared" si="59"/>
        <v>0</v>
      </c>
    </row>
    <row r="640" spans="8:13" x14ac:dyDescent="0.25">
      <c r="H640">
        <f t="shared" si="57"/>
        <v>0</v>
      </c>
      <c r="I640">
        <f t="shared" si="54"/>
        <v>0</v>
      </c>
      <c r="J640">
        <f t="shared" si="55"/>
        <v>0</v>
      </c>
      <c r="K640">
        <f t="shared" si="56"/>
        <v>0</v>
      </c>
      <c r="L640">
        <f t="shared" si="58"/>
        <v>0</v>
      </c>
      <c r="M640">
        <f t="shared" si="59"/>
        <v>0</v>
      </c>
    </row>
    <row r="641" spans="8:13" x14ac:dyDescent="0.25">
      <c r="H641">
        <f t="shared" si="57"/>
        <v>0</v>
      </c>
      <c r="I641">
        <f t="shared" si="54"/>
        <v>0</v>
      </c>
      <c r="J641">
        <f t="shared" si="55"/>
        <v>0</v>
      </c>
      <c r="K641">
        <f t="shared" si="56"/>
        <v>0</v>
      </c>
      <c r="L641">
        <f t="shared" si="58"/>
        <v>0</v>
      </c>
      <c r="M641">
        <f t="shared" si="59"/>
        <v>0</v>
      </c>
    </row>
    <row r="642" spans="8:13" x14ac:dyDescent="0.25">
      <c r="H642">
        <f t="shared" si="57"/>
        <v>0</v>
      </c>
      <c r="I642">
        <f t="shared" ref="I642:I705" si="60">C642*$I$1</f>
        <v>0</v>
      </c>
      <c r="J642">
        <f t="shared" ref="J642:J705" si="61">D642*$J$1</f>
        <v>0</v>
      </c>
      <c r="K642">
        <f t="shared" ref="K642:K705" si="62">E642*$K$1</f>
        <v>0</v>
      </c>
      <c r="L642">
        <f t="shared" si="58"/>
        <v>0</v>
      </c>
      <c r="M642">
        <f t="shared" si="59"/>
        <v>0</v>
      </c>
    </row>
    <row r="643" spans="8:13" x14ac:dyDescent="0.25">
      <c r="H643">
        <f t="shared" ref="H643:H706" si="63">B643*$H$1</f>
        <v>0</v>
      </c>
      <c r="I643">
        <f t="shared" si="60"/>
        <v>0</v>
      </c>
      <c r="J643">
        <f t="shared" si="61"/>
        <v>0</v>
      </c>
      <c r="K643">
        <f t="shared" si="62"/>
        <v>0</v>
      </c>
      <c r="L643">
        <f t="shared" ref="L643:L706" si="64">F643*$L$1</f>
        <v>0</v>
      </c>
      <c r="M643">
        <f t="shared" ref="M643:M706" si="65">SUM(H643:L643)</f>
        <v>0</v>
      </c>
    </row>
    <row r="644" spans="8:13" x14ac:dyDescent="0.25">
      <c r="H644">
        <f t="shared" si="63"/>
        <v>0</v>
      </c>
      <c r="I644">
        <f t="shared" si="60"/>
        <v>0</v>
      </c>
      <c r="J644">
        <f t="shared" si="61"/>
        <v>0</v>
      </c>
      <c r="K644">
        <f t="shared" si="62"/>
        <v>0</v>
      </c>
      <c r="L644">
        <f t="shared" si="64"/>
        <v>0</v>
      </c>
      <c r="M644">
        <f t="shared" si="65"/>
        <v>0</v>
      </c>
    </row>
    <row r="645" spans="8:13" x14ac:dyDescent="0.25">
      <c r="H645">
        <f t="shared" si="63"/>
        <v>0</v>
      </c>
      <c r="I645">
        <f t="shared" si="60"/>
        <v>0</v>
      </c>
      <c r="J645">
        <f t="shared" si="61"/>
        <v>0</v>
      </c>
      <c r="K645">
        <f t="shared" si="62"/>
        <v>0</v>
      </c>
      <c r="L645">
        <f t="shared" si="64"/>
        <v>0</v>
      </c>
      <c r="M645">
        <f t="shared" si="65"/>
        <v>0</v>
      </c>
    </row>
    <row r="646" spans="8:13" x14ac:dyDescent="0.25">
      <c r="H646">
        <f t="shared" si="63"/>
        <v>0</v>
      </c>
      <c r="I646">
        <f t="shared" si="60"/>
        <v>0</v>
      </c>
      <c r="J646">
        <f t="shared" si="61"/>
        <v>0</v>
      </c>
      <c r="K646">
        <f t="shared" si="62"/>
        <v>0</v>
      </c>
      <c r="L646">
        <f t="shared" si="64"/>
        <v>0</v>
      </c>
      <c r="M646">
        <f t="shared" si="65"/>
        <v>0</v>
      </c>
    </row>
    <row r="647" spans="8:13" x14ac:dyDescent="0.25">
      <c r="H647">
        <f t="shared" si="63"/>
        <v>0</v>
      </c>
      <c r="I647">
        <f t="shared" si="60"/>
        <v>0</v>
      </c>
      <c r="J647">
        <f t="shared" si="61"/>
        <v>0</v>
      </c>
      <c r="K647">
        <f t="shared" si="62"/>
        <v>0</v>
      </c>
      <c r="L647">
        <f t="shared" si="64"/>
        <v>0</v>
      </c>
      <c r="M647">
        <f t="shared" si="65"/>
        <v>0</v>
      </c>
    </row>
    <row r="648" spans="8:13" x14ac:dyDescent="0.25">
      <c r="H648">
        <f t="shared" si="63"/>
        <v>0</v>
      </c>
      <c r="I648">
        <f t="shared" si="60"/>
        <v>0</v>
      </c>
      <c r="J648">
        <f t="shared" si="61"/>
        <v>0</v>
      </c>
      <c r="K648">
        <f t="shared" si="62"/>
        <v>0</v>
      </c>
      <c r="L648">
        <f t="shared" si="64"/>
        <v>0</v>
      </c>
      <c r="M648">
        <f t="shared" si="65"/>
        <v>0</v>
      </c>
    </row>
    <row r="649" spans="8:13" x14ac:dyDescent="0.25">
      <c r="H649">
        <f t="shared" si="63"/>
        <v>0</v>
      </c>
      <c r="I649">
        <f t="shared" si="60"/>
        <v>0</v>
      </c>
      <c r="J649">
        <f t="shared" si="61"/>
        <v>0</v>
      </c>
      <c r="K649">
        <f t="shared" si="62"/>
        <v>0</v>
      </c>
      <c r="L649">
        <f t="shared" si="64"/>
        <v>0</v>
      </c>
      <c r="M649">
        <f t="shared" si="65"/>
        <v>0</v>
      </c>
    </row>
    <row r="650" spans="8:13" x14ac:dyDescent="0.25">
      <c r="H650">
        <f t="shared" si="63"/>
        <v>0</v>
      </c>
      <c r="I650">
        <f t="shared" si="60"/>
        <v>0</v>
      </c>
      <c r="J650">
        <f t="shared" si="61"/>
        <v>0</v>
      </c>
      <c r="K650">
        <f t="shared" si="62"/>
        <v>0</v>
      </c>
      <c r="L650">
        <f t="shared" si="64"/>
        <v>0</v>
      </c>
      <c r="M650">
        <f t="shared" si="65"/>
        <v>0</v>
      </c>
    </row>
    <row r="651" spans="8:13" x14ac:dyDescent="0.25">
      <c r="H651">
        <f t="shared" si="63"/>
        <v>0</v>
      </c>
      <c r="I651">
        <f t="shared" si="60"/>
        <v>0</v>
      </c>
      <c r="J651">
        <f t="shared" si="61"/>
        <v>0</v>
      </c>
      <c r="K651">
        <f t="shared" si="62"/>
        <v>0</v>
      </c>
      <c r="L651">
        <f t="shared" si="64"/>
        <v>0</v>
      </c>
      <c r="M651">
        <f t="shared" si="65"/>
        <v>0</v>
      </c>
    </row>
    <row r="652" spans="8:13" x14ac:dyDescent="0.25">
      <c r="H652">
        <f t="shared" si="63"/>
        <v>0</v>
      </c>
      <c r="I652">
        <f t="shared" si="60"/>
        <v>0</v>
      </c>
      <c r="J652">
        <f t="shared" si="61"/>
        <v>0</v>
      </c>
      <c r="K652">
        <f t="shared" si="62"/>
        <v>0</v>
      </c>
      <c r="L652">
        <f t="shared" si="64"/>
        <v>0</v>
      </c>
      <c r="M652">
        <f t="shared" si="65"/>
        <v>0</v>
      </c>
    </row>
    <row r="653" spans="8:13" x14ac:dyDescent="0.25">
      <c r="H653">
        <f t="shared" si="63"/>
        <v>0</v>
      </c>
      <c r="I653">
        <f t="shared" si="60"/>
        <v>0</v>
      </c>
      <c r="J653">
        <f t="shared" si="61"/>
        <v>0</v>
      </c>
      <c r="K653">
        <f t="shared" si="62"/>
        <v>0</v>
      </c>
      <c r="L653">
        <f t="shared" si="64"/>
        <v>0</v>
      </c>
      <c r="M653">
        <f t="shared" si="65"/>
        <v>0</v>
      </c>
    </row>
    <row r="654" spans="8:13" x14ac:dyDescent="0.25">
      <c r="H654">
        <f t="shared" si="63"/>
        <v>0</v>
      </c>
      <c r="I654">
        <f t="shared" si="60"/>
        <v>0</v>
      </c>
      <c r="J654">
        <f t="shared" si="61"/>
        <v>0</v>
      </c>
      <c r="K654">
        <f t="shared" si="62"/>
        <v>0</v>
      </c>
      <c r="L654">
        <f t="shared" si="64"/>
        <v>0</v>
      </c>
      <c r="M654">
        <f t="shared" si="65"/>
        <v>0</v>
      </c>
    </row>
    <row r="655" spans="8:13" x14ac:dyDescent="0.25">
      <c r="H655">
        <f t="shared" si="63"/>
        <v>0</v>
      </c>
      <c r="I655">
        <f t="shared" si="60"/>
        <v>0</v>
      </c>
      <c r="J655">
        <f t="shared" si="61"/>
        <v>0</v>
      </c>
      <c r="K655">
        <f t="shared" si="62"/>
        <v>0</v>
      </c>
      <c r="L655">
        <f t="shared" si="64"/>
        <v>0</v>
      </c>
      <c r="M655">
        <f t="shared" si="65"/>
        <v>0</v>
      </c>
    </row>
    <row r="656" spans="8:13" x14ac:dyDescent="0.25">
      <c r="H656">
        <f t="shared" si="63"/>
        <v>0</v>
      </c>
      <c r="I656">
        <f t="shared" si="60"/>
        <v>0</v>
      </c>
      <c r="J656">
        <f t="shared" si="61"/>
        <v>0</v>
      </c>
      <c r="K656">
        <f t="shared" si="62"/>
        <v>0</v>
      </c>
      <c r="L656">
        <f t="shared" si="64"/>
        <v>0</v>
      </c>
      <c r="M656">
        <f t="shared" si="65"/>
        <v>0</v>
      </c>
    </row>
    <row r="657" spans="8:13" x14ac:dyDescent="0.25">
      <c r="H657">
        <f t="shared" si="63"/>
        <v>0</v>
      </c>
      <c r="I657">
        <f t="shared" si="60"/>
        <v>0</v>
      </c>
      <c r="J657">
        <f t="shared" si="61"/>
        <v>0</v>
      </c>
      <c r="K657">
        <f t="shared" si="62"/>
        <v>0</v>
      </c>
      <c r="L657">
        <f t="shared" si="64"/>
        <v>0</v>
      </c>
      <c r="M657">
        <f t="shared" si="65"/>
        <v>0</v>
      </c>
    </row>
    <row r="658" spans="8:13" x14ac:dyDescent="0.25">
      <c r="H658">
        <f t="shared" si="63"/>
        <v>0</v>
      </c>
      <c r="I658">
        <f t="shared" si="60"/>
        <v>0</v>
      </c>
      <c r="J658">
        <f t="shared" si="61"/>
        <v>0</v>
      </c>
      <c r="K658">
        <f t="shared" si="62"/>
        <v>0</v>
      </c>
      <c r="L658">
        <f t="shared" si="64"/>
        <v>0</v>
      </c>
      <c r="M658">
        <f t="shared" si="65"/>
        <v>0</v>
      </c>
    </row>
    <row r="659" spans="8:13" x14ac:dyDescent="0.25">
      <c r="H659">
        <f t="shared" si="63"/>
        <v>0</v>
      </c>
      <c r="I659">
        <f t="shared" si="60"/>
        <v>0</v>
      </c>
      <c r="J659">
        <f t="shared" si="61"/>
        <v>0</v>
      </c>
      <c r="K659">
        <f t="shared" si="62"/>
        <v>0</v>
      </c>
      <c r="L659">
        <f t="shared" si="64"/>
        <v>0</v>
      </c>
      <c r="M659">
        <f t="shared" si="65"/>
        <v>0</v>
      </c>
    </row>
    <row r="660" spans="8:13" x14ac:dyDescent="0.25">
      <c r="H660">
        <f t="shared" si="63"/>
        <v>0</v>
      </c>
      <c r="I660">
        <f t="shared" si="60"/>
        <v>0</v>
      </c>
      <c r="J660">
        <f t="shared" si="61"/>
        <v>0</v>
      </c>
      <c r="K660">
        <f t="shared" si="62"/>
        <v>0</v>
      </c>
      <c r="L660">
        <f t="shared" si="64"/>
        <v>0</v>
      </c>
      <c r="M660">
        <f t="shared" si="65"/>
        <v>0</v>
      </c>
    </row>
    <row r="661" spans="8:13" x14ac:dyDescent="0.25">
      <c r="H661">
        <f t="shared" si="63"/>
        <v>0</v>
      </c>
      <c r="I661">
        <f t="shared" si="60"/>
        <v>0</v>
      </c>
      <c r="J661">
        <f t="shared" si="61"/>
        <v>0</v>
      </c>
      <c r="K661">
        <f t="shared" si="62"/>
        <v>0</v>
      </c>
      <c r="L661">
        <f t="shared" si="64"/>
        <v>0</v>
      </c>
      <c r="M661">
        <f t="shared" si="65"/>
        <v>0</v>
      </c>
    </row>
    <row r="662" spans="8:13" x14ac:dyDescent="0.25">
      <c r="H662">
        <f t="shared" si="63"/>
        <v>0</v>
      </c>
      <c r="I662">
        <f t="shared" si="60"/>
        <v>0</v>
      </c>
      <c r="J662">
        <f t="shared" si="61"/>
        <v>0</v>
      </c>
      <c r="K662">
        <f t="shared" si="62"/>
        <v>0</v>
      </c>
      <c r="L662">
        <f t="shared" si="64"/>
        <v>0</v>
      </c>
      <c r="M662">
        <f t="shared" si="65"/>
        <v>0</v>
      </c>
    </row>
    <row r="663" spans="8:13" x14ac:dyDescent="0.25">
      <c r="H663">
        <f t="shared" si="63"/>
        <v>0</v>
      </c>
      <c r="I663">
        <f t="shared" si="60"/>
        <v>0</v>
      </c>
      <c r="J663">
        <f t="shared" si="61"/>
        <v>0</v>
      </c>
      <c r="K663">
        <f t="shared" si="62"/>
        <v>0</v>
      </c>
      <c r="L663">
        <f t="shared" si="64"/>
        <v>0</v>
      </c>
      <c r="M663">
        <f t="shared" si="65"/>
        <v>0</v>
      </c>
    </row>
    <row r="664" spans="8:13" x14ac:dyDescent="0.25">
      <c r="H664">
        <f t="shared" si="63"/>
        <v>0</v>
      </c>
      <c r="I664">
        <f t="shared" si="60"/>
        <v>0</v>
      </c>
      <c r="J664">
        <f t="shared" si="61"/>
        <v>0</v>
      </c>
      <c r="K664">
        <f t="shared" si="62"/>
        <v>0</v>
      </c>
      <c r="L664">
        <f t="shared" si="64"/>
        <v>0</v>
      </c>
      <c r="M664">
        <f t="shared" si="65"/>
        <v>0</v>
      </c>
    </row>
    <row r="665" spans="8:13" x14ac:dyDescent="0.25">
      <c r="H665">
        <f t="shared" si="63"/>
        <v>0</v>
      </c>
      <c r="I665">
        <f t="shared" si="60"/>
        <v>0</v>
      </c>
      <c r="J665">
        <f t="shared" si="61"/>
        <v>0</v>
      </c>
      <c r="K665">
        <f t="shared" si="62"/>
        <v>0</v>
      </c>
      <c r="L665">
        <f t="shared" si="64"/>
        <v>0</v>
      </c>
      <c r="M665">
        <f t="shared" si="65"/>
        <v>0</v>
      </c>
    </row>
    <row r="666" spans="8:13" x14ac:dyDescent="0.25">
      <c r="H666">
        <f t="shared" si="63"/>
        <v>0</v>
      </c>
      <c r="I666">
        <f t="shared" si="60"/>
        <v>0</v>
      </c>
      <c r="J666">
        <f t="shared" si="61"/>
        <v>0</v>
      </c>
      <c r="K666">
        <f t="shared" si="62"/>
        <v>0</v>
      </c>
      <c r="L666">
        <f t="shared" si="64"/>
        <v>0</v>
      </c>
      <c r="M666">
        <f t="shared" si="65"/>
        <v>0</v>
      </c>
    </row>
    <row r="667" spans="8:13" x14ac:dyDescent="0.25">
      <c r="H667">
        <f t="shared" si="63"/>
        <v>0</v>
      </c>
      <c r="I667">
        <f t="shared" si="60"/>
        <v>0</v>
      </c>
      <c r="J667">
        <f t="shared" si="61"/>
        <v>0</v>
      </c>
      <c r="K667">
        <f t="shared" si="62"/>
        <v>0</v>
      </c>
      <c r="L667">
        <f t="shared" si="64"/>
        <v>0</v>
      </c>
      <c r="M667">
        <f t="shared" si="65"/>
        <v>0</v>
      </c>
    </row>
    <row r="668" spans="8:13" x14ac:dyDescent="0.25">
      <c r="H668">
        <f t="shared" si="63"/>
        <v>0</v>
      </c>
      <c r="I668">
        <f t="shared" si="60"/>
        <v>0</v>
      </c>
      <c r="J668">
        <f t="shared" si="61"/>
        <v>0</v>
      </c>
      <c r="K668">
        <f t="shared" si="62"/>
        <v>0</v>
      </c>
      <c r="L668">
        <f t="shared" si="64"/>
        <v>0</v>
      </c>
      <c r="M668">
        <f t="shared" si="65"/>
        <v>0</v>
      </c>
    </row>
    <row r="669" spans="8:13" x14ac:dyDescent="0.25">
      <c r="H669">
        <f t="shared" si="63"/>
        <v>0</v>
      </c>
      <c r="I669">
        <f t="shared" si="60"/>
        <v>0</v>
      </c>
      <c r="J669">
        <f t="shared" si="61"/>
        <v>0</v>
      </c>
      <c r="K669">
        <f t="shared" si="62"/>
        <v>0</v>
      </c>
      <c r="L669">
        <f t="shared" si="64"/>
        <v>0</v>
      </c>
      <c r="M669">
        <f t="shared" si="65"/>
        <v>0</v>
      </c>
    </row>
    <row r="670" spans="8:13" x14ac:dyDescent="0.25">
      <c r="H670">
        <f t="shared" si="63"/>
        <v>0</v>
      </c>
      <c r="I670">
        <f t="shared" si="60"/>
        <v>0</v>
      </c>
      <c r="J670">
        <f t="shared" si="61"/>
        <v>0</v>
      </c>
      <c r="K670">
        <f t="shared" si="62"/>
        <v>0</v>
      </c>
      <c r="L670">
        <f t="shared" si="64"/>
        <v>0</v>
      </c>
      <c r="M670">
        <f t="shared" si="65"/>
        <v>0</v>
      </c>
    </row>
    <row r="671" spans="8:13" x14ac:dyDescent="0.25">
      <c r="H671">
        <f t="shared" si="63"/>
        <v>0</v>
      </c>
      <c r="I671">
        <f t="shared" si="60"/>
        <v>0</v>
      </c>
      <c r="J671">
        <f t="shared" si="61"/>
        <v>0</v>
      </c>
      <c r="K671">
        <f t="shared" si="62"/>
        <v>0</v>
      </c>
      <c r="L671">
        <f t="shared" si="64"/>
        <v>0</v>
      </c>
      <c r="M671">
        <f t="shared" si="65"/>
        <v>0</v>
      </c>
    </row>
    <row r="672" spans="8:13" x14ac:dyDescent="0.25">
      <c r="H672">
        <f t="shared" si="63"/>
        <v>0</v>
      </c>
      <c r="I672">
        <f t="shared" si="60"/>
        <v>0</v>
      </c>
      <c r="J672">
        <f t="shared" si="61"/>
        <v>0</v>
      </c>
      <c r="K672">
        <f t="shared" si="62"/>
        <v>0</v>
      </c>
      <c r="L672">
        <f t="shared" si="64"/>
        <v>0</v>
      </c>
      <c r="M672">
        <f t="shared" si="65"/>
        <v>0</v>
      </c>
    </row>
    <row r="673" spans="8:13" x14ac:dyDescent="0.25">
      <c r="H673">
        <f t="shared" si="63"/>
        <v>0</v>
      </c>
      <c r="I673">
        <f t="shared" si="60"/>
        <v>0</v>
      </c>
      <c r="J673">
        <f t="shared" si="61"/>
        <v>0</v>
      </c>
      <c r="K673">
        <f t="shared" si="62"/>
        <v>0</v>
      </c>
      <c r="L673">
        <f t="shared" si="64"/>
        <v>0</v>
      </c>
      <c r="M673">
        <f t="shared" si="65"/>
        <v>0</v>
      </c>
    </row>
    <row r="674" spans="8:13" x14ac:dyDescent="0.25">
      <c r="H674">
        <f t="shared" si="63"/>
        <v>0</v>
      </c>
      <c r="I674">
        <f t="shared" si="60"/>
        <v>0</v>
      </c>
      <c r="J674">
        <f t="shared" si="61"/>
        <v>0</v>
      </c>
      <c r="K674">
        <f t="shared" si="62"/>
        <v>0</v>
      </c>
      <c r="L674">
        <f t="shared" si="64"/>
        <v>0</v>
      </c>
      <c r="M674">
        <f t="shared" si="65"/>
        <v>0</v>
      </c>
    </row>
    <row r="675" spans="8:13" x14ac:dyDescent="0.25">
      <c r="H675">
        <f t="shared" si="63"/>
        <v>0</v>
      </c>
      <c r="I675">
        <f t="shared" si="60"/>
        <v>0</v>
      </c>
      <c r="J675">
        <f t="shared" si="61"/>
        <v>0</v>
      </c>
      <c r="K675">
        <f t="shared" si="62"/>
        <v>0</v>
      </c>
      <c r="L675">
        <f t="shared" si="64"/>
        <v>0</v>
      </c>
      <c r="M675">
        <f t="shared" si="65"/>
        <v>0</v>
      </c>
    </row>
    <row r="676" spans="8:13" x14ac:dyDescent="0.25">
      <c r="H676">
        <f t="shared" si="63"/>
        <v>0</v>
      </c>
      <c r="I676">
        <f t="shared" si="60"/>
        <v>0</v>
      </c>
      <c r="J676">
        <f t="shared" si="61"/>
        <v>0</v>
      </c>
      <c r="K676">
        <f t="shared" si="62"/>
        <v>0</v>
      </c>
      <c r="L676">
        <f t="shared" si="64"/>
        <v>0</v>
      </c>
      <c r="M676">
        <f t="shared" si="65"/>
        <v>0</v>
      </c>
    </row>
    <row r="677" spans="8:13" x14ac:dyDescent="0.25">
      <c r="H677">
        <f t="shared" si="63"/>
        <v>0</v>
      </c>
      <c r="I677">
        <f t="shared" si="60"/>
        <v>0</v>
      </c>
      <c r="J677">
        <f t="shared" si="61"/>
        <v>0</v>
      </c>
      <c r="K677">
        <f t="shared" si="62"/>
        <v>0</v>
      </c>
      <c r="L677">
        <f t="shared" si="64"/>
        <v>0</v>
      </c>
      <c r="M677">
        <f t="shared" si="65"/>
        <v>0</v>
      </c>
    </row>
    <row r="678" spans="8:13" x14ac:dyDescent="0.25">
      <c r="H678">
        <f t="shared" si="63"/>
        <v>0</v>
      </c>
      <c r="I678">
        <f t="shared" si="60"/>
        <v>0</v>
      </c>
      <c r="J678">
        <f t="shared" si="61"/>
        <v>0</v>
      </c>
      <c r="K678">
        <f t="shared" si="62"/>
        <v>0</v>
      </c>
      <c r="L678">
        <f t="shared" si="64"/>
        <v>0</v>
      </c>
      <c r="M678">
        <f t="shared" si="65"/>
        <v>0</v>
      </c>
    </row>
    <row r="679" spans="8:13" x14ac:dyDescent="0.25">
      <c r="H679">
        <f t="shared" si="63"/>
        <v>0</v>
      </c>
      <c r="I679">
        <f t="shared" si="60"/>
        <v>0</v>
      </c>
      <c r="J679">
        <f t="shared" si="61"/>
        <v>0</v>
      </c>
      <c r="K679">
        <f t="shared" si="62"/>
        <v>0</v>
      </c>
      <c r="L679">
        <f t="shared" si="64"/>
        <v>0</v>
      </c>
      <c r="M679">
        <f t="shared" si="65"/>
        <v>0</v>
      </c>
    </row>
    <row r="680" spans="8:13" x14ac:dyDescent="0.25">
      <c r="H680">
        <f t="shared" si="63"/>
        <v>0</v>
      </c>
      <c r="I680">
        <f t="shared" si="60"/>
        <v>0</v>
      </c>
      <c r="J680">
        <f t="shared" si="61"/>
        <v>0</v>
      </c>
      <c r="K680">
        <f t="shared" si="62"/>
        <v>0</v>
      </c>
      <c r="L680">
        <f t="shared" si="64"/>
        <v>0</v>
      </c>
      <c r="M680">
        <f t="shared" si="65"/>
        <v>0</v>
      </c>
    </row>
    <row r="681" spans="8:13" x14ac:dyDescent="0.25">
      <c r="H681">
        <f t="shared" si="63"/>
        <v>0</v>
      </c>
      <c r="I681">
        <f t="shared" si="60"/>
        <v>0</v>
      </c>
      <c r="J681">
        <f t="shared" si="61"/>
        <v>0</v>
      </c>
      <c r="K681">
        <f t="shared" si="62"/>
        <v>0</v>
      </c>
      <c r="L681">
        <f t="shared" si="64"/>
        <v>0</v>
      </c>
      <c r="M681">
        <f t="shared" si="65"/>
        <v>0</v>
      </c>
    </row>
    <row r="682" spans="8:13" x14ac:dyDescent="0.25">
      <c r="H682">
        <f t="shared" si="63"/>
        <v>0</v>
      </c>
      <c r="I682">
        <f t="shared" si="60"/>
        <v>0</v>
      </c>
      <c r="J682">
        <f t="shared" si="61"/>
        <v>0</v>
      </c>
      <c r="K682">
        <f t="shared" si="62"/>
        <v>0</v>
      </c>
      <c r="L682">
        <f t="shared" si="64"/>
        <v>0</v>
      </c>
      <c r="M682">
        <f t="shared" si="65"/>
        <v>0</v>
      </c>
    </row>
    <row r="683" spans="8:13" x14ac:dyDescent="0.25">
      <c r="H683">
        <f t="shared" si="63"/>
        <v>0</v>
      </c>
      <c r="I683">
        <f t="shared" si="60"/>
        <v>0</v>
      </c>
      <c r="J683">
        <f t="shared" si="61"/>
        <v>0</v>
      </c>
      <c r="K683">
        <f t="shared" si="62"/>
        <v>0</v>
      </c>
      <c r="L683">
        <f t="shared" si="64"/>
        <v>0</v>
      </c>
      <c r="M683">
        <f t="shared" si="65"/>
        <v>0</v>
      </c>
    </row>
    <row r="684" spans="8:13" x14ac:dyDescent="0.25">
      <c r="H684">
        <f t="shared" si="63"/>
        <v>0</v>
      </c>
      <c r="I684">
        <f t="shared" si="60"/>
        <v>0</v>
      </c>
      <c r="J684">
        <f t="shared" si="61"/>
        <v>0</v>
      </c>
      <c r="K684">
        <f t="shared" si="62"/>
        <v>0</v>
      </c>
      <c r="L684">
        <f t="shared" si="64"/>
        <v>0</v>
      </c>
      <c r="M684">
        <f t="shared" si="65"/>
        <v>0</v>
      </c>
    </row>
    <row r="685" spans="8:13" x14ac:dyDescent="0.25">
      <c r="H685">
        <f t="shared" si="63"/>
        <v>0</v>
      </c>
      <c r="I685">
        <f t="shared" si="60"/>
        <v>0</v>
      </c>
      <c r="J685">
        <f t="shared" si="61"/>
        <v>0</v>
      </c>
      <c r="K685">
        <f t="shared" si="62"/>
        <v>0</v>
      </c>
      <c r="L685">
        <f t="shared" si="64"/>
        <v>0</v>
      </c>
      <c r="M685">
        <f t="shared" si="65"/>
        <v>0</v>
      </c>
    </row>
    <row r="686" spans="8:13" x14ac:dyDescent="0.25">
      <c r="H686">
        <f t="shared" si="63"/>
        <v>0</v>
      </c>
      <c r="I686">
        <f t="shared" si="60"/>
        <v>0</v>
      </c>
      <c r="J686">
        <f t="shared" si="61"/>
        <v>0</v>
      </c>
      <c r="K686">
        <f t="shared" si="62"/>
        <v>0</v>
      </c>
      <c r="L686">
        <f t="shared" si="64"/>
        <v>0</v>
      </c>
      <c r="M686">
        <f t="shared" si="65"/>
        <v>0</v>
      </c>
    </row>
    <row r="687" spans="8:13" x14ac:dyDescent="0.25">
      <c r="H687">
        <f t="shared" si="63"/>
        <v>0</v>
      </c>
      <c r="I687">
        <f t="shared" si="60"/>
        <v>0</v>
      </c>
      <c r="J687">
        <f t="shared" si="61"/>
        <v>0</v>
      </c>
      <c r="K687">
        <f t="shared" si="62"/>
        <v>0</v>
      </c>
      <c r="L687">
        <f t="shared" si="64"/>
        <v>0</v>
      </c>
      <c r="M687">
        <f t="shared" si="65"/>
        <v>0</v>
      </c>
    </row>
    <row r="688" spans="8:13" x14ac:dyDescent="0.25">
      <c r="H688">
        <f t="shared" si="63"/>
        <v>0</v>
      </c>
      <c r="I688">
        <f t="shared" si="60"/>
        <v>0</v>
      </c>
      <c r="J688">
        <f t="shared" si="61"/>
        <v>0</v>
      </c>
      <c r="K688">
        <f t="shared" si="62"/>
        <v>0</v>
      </c>
      <c r="L688">
        <f t="shared" si="64"/>
        <v>0</v>
      </c>
      <c r="M688">
        <f t="shared" si="65"/>
        <v>0</v>
      </c>
    </row>
    <row r="689" spans="8:13" x14ac:dyDescent="0.25">
      <c r="H689">
        <f t="shared" si="63"/>
        <v>0</v>
      </c>
      <c r="I689">
        <f t="shared" si="60"/>
        <v>0</v>
      </c>
      <c r="J689">
        <f t="shared" si="61"/>
        <v>0</v>
      </c>
      <c r="K689">
        <f t="shared" si="62"/>
        <v>0</v>
      </c>
      <c r="L689">
        <f t="shared" si="64"/>
        <v>0</v>
      </c>
      <c r="M689">
        <f t="shared" si="65"/>
        <v>0</v>
      </c>
    </row>
    <row r="690" spans="8:13" x14ac:dyDescent="0.25">
      <c r="H690">
        <f t="shared" si="63"/>
        <v>0</v>
      </c>
      <c r="I690">
        <f t="shared" si="60"/>
        <v>0</v>
      </c>
      <c r="J690">
        <f t="shared" si="61"/>
        <v>0</v>
      </c>
      <c r="K690">
        <f t="shared" si="62"/>
        <v>0</v>
      </c>
      <c r="L690">
        <f t="shared" si="64"/>
        <v>0</v>
      </c>
      <c r="M690">
        <f t="shared" si="65"/>
        <v>0</v>
      </c>
    </row>
    <row r="691" spans="8:13" x14ac:dyDescent="0.25">
      <c r="H691">
        <f t="shared" si="63"/>
        <v>0</v>
      </c>
      <c r="I691">
        <f t="shared" si="60"/>
        <v>0</v>
      </c>
      <c r="J691">
        <f t="shared" si="61"/>
        <v>0</v>
      </c>
      <c r="K691">
        <f t="shared" si="62"/>
        <v>0</v>
      </c>
      <c r="L691">
        <f t="shared" si="64"/>
        <v>0</v>
      </c>
      <c r="M691">
        <f t="shared" si="65"/>
        <v>0</v>
      </c>
    </row>
    <row r="692" spans="8:13" x14ac:dyDescent="0.25">
      <c r="H692">
        <f t="shared" si="63"/>
        <v>0</v>
      </c>
      <c r="I692">
        <f t="shared" si="60"/>
        <v>0</v>
      </c>
      <c r="J692">
        <f t="shared" si="61"/>
        <v>0</v>
      </c>
      <c r="K692">
        <f t="shared" si="62"/>
        <v>0</v>
      </c>
      <c r="L692">
        <f t="shared" si="64"/>
        <v>0</v>
      </c>
      <c r="M692">
        <f t="shared" si="65"/>
        <v>0</v>
      </c>
    </row>
    <row r="693" spans="8:13" x14ac:dyDescent="0.25">
      <c r="H693">
        <f t="shared" si="63"/>
        <v>0</v>
      </c>
      <c r="I693">
        <f t="shared" si="60"/>
        <v>0</v>
      </c>
      <c r="J693">
        <f t="shared" si="61"/>
        <v>0</v>
      </c>
      <c r="K693">
        <f t="shared" si="62"/>
        <v>0</v>
      </c>
      <c r="L693">
        <f t="shared" si="64"/>
        <v>0</v>
      </c>
      <c r="M693">
        <f t="shared" si="65"/>
        <v>0</v>
      </c>
    </row>
    <row r="694" spans="8:13" x14ac:dyDescent="0.25">
      <c r="H694">
        <f t="shared" si="63"/>
        <v>0</v>
      </c>
      <c r="I694">
        <f t="shared" si="60"/>
        <v>0</v>
      </c>
      <c r="J694">
        <f t="shared" si="61"/>
        <v>0</v>
      </c>
      <c r="K694">
        <f t="shared" si="62"/>
        <v>0</v>
      </c>
      <c r="L694">
        <f t="shared" si="64"/>
        <v>0</v>
      </c>
      <c r="M694">
        <f t="shared" si="65"/>
        <v>0</v>
      </c>
    </row>
    <row r="695" spans="8:13" x14ac:dyDescent="0.25">
      <c r="H695">
        <f t="shared" si="63"/>
        <v>0</v>
      </c>
      <c r="I695">
        <f t="shared" si="60"/>
        <v>0</v>
      </c>
      <c r="J695">
        <f t="shared" si="61"/>
        <v>0</v>
      </c>
      <c r="K695">
        <f t="shared" si="62"/>
        <v>0</v>
      </c>
      <c r="L695">
        <f t="shared" si="64"/>
        <v>0</v>
      </c>
      <c r="M695">
        <f t="shared" si="65"/>
        <v>0</v>
      </c>
    </row>
    <row r="696" spans="8:13" x14ac:dyDescent="0.25">
      <c r="H696">
        <f t="shared" si="63"/>
        <v>0</v>
      </c>
      <c r="I696">
        <f t="shared" si="60"/>
        <v>0</v>
      </c>
      <c r="J696">
        <f t="shared" si="61"/>
        <v>0</v>
      </c>
      <c r="K696">
        <f t="shared" si="62"/>
        <v>0</v>
      </c>
      <c r="L696">
        <f t="shared" si="64"/>
        <v>0</v>
      </c>
      <c r="M696">
        <f t="shared" si="65"/>
        <v>0</v>
      </c>
    </row>
    <row r="697" spans="8:13" x14ac:dyDescent="0.25">
      <c r="H697">
        <f t="shared" si="63"/>
        <v>0</v>
      </c>
      <c r="I697">
        <f t="shared" si="60"/>
        <v>0</v>
      </c>
      <c r="J697">
        <f t="shared" si="61"/>
        <v>0</v>
      </c>
      <c r="K697">
        <f t="shared" si="62"/>
        <v>0</v>
      </c>
      <c r="L697">
        <f t="shared" si="64"/>
        <v>0</v>
      </c>
      <c r="M697">
        <f t="shared" si="65"/>
        <v>0</v>
      </c>
    </row>
    <row r="698" spans="8:13" x14ac:dyDescent="0.25">
      <c r="H698">
        <f t="shared" si="63"/>
        <v>0</v>
      </c>
      <c r="I698">
        <f t="shared" si="60"/>
        <v>0</v>
      </c>
      <c r="J698">
        <f t="shared" si="61"/>
        <v>0</v>
      </c>
      <c r="K698">
        <f t="shared" si="62"/>
        <v>0</v>
      </c>
      <c r="L698">
        <f t="shared" si="64"/>
        <v>0</v>
      </c>
      <c r="M698">
        <f t="shared" si="65"/>
        <v>0</v>
      </c>
    </row>
    <row r="699" spans="8:13" x14ac:dyDescent="0.25">
      <c r="H699">
        <f t="shared" si="63"/>
        <v>0</v>
      </c>
      <c r="I699">
        <f t="shared" si="60"/>
        <v>0</v>
      </c>
      <c r="J699">
        <f t="shared" si="61"/>
        <v>0</v>
      </c>
      <c r="K699">
        <f t="shared" si="62"/>
        <v>0</v>
      </c>
      <c r="L699">
        <f t="shared" si="64"/>
        <v>0</v>
      </c>
      <c r="M699">
        <f t="shared" si="65"/>
        <v>0</v>
      </c>
    </row>
    <row r="700" spans="8:13" x14ac:dyDescent="0.25">
      <c r="H700">
        <f t="shared" si="63"/>
        <v>0</v>
      </c>
      <c r="I700">
        <f t="shared" si="60"/>
        <v>0</v>
      </c>
      <c r="J700">
        <f t="shared" si="61"/>
        <v>0</v>
      </c>
      <c r="K700">
        <f t="shared" si="62"/>
        <v>0</v>
      </c>
      <c r="L700">
        <f t="shared" si="64"/>
        <v>0</v>
      </c>
      <c r="M700">
        <f t="shared" si="65"/>
        <v>0</v>
      </c>
    </row>
    <row r="701" spans="8:13" x14ac:dyDescent="0.25">
      <c r="H701">
        <f t="shared" si="63"/>
        <v>0</v>
      </c>
      <c r="I701">
        <f t="shared" si="60"/>
        <v>0</v>
      </c>
      <c r="J701">
        <f t="shared" si="61"/>
        <v>0</v>
      </c>
      <c r="K701">
        <f t="shared" si="62"/>
        <v>0</v>
      </c>
      <c r="L701">
        <f t="shared" si="64"/>
        <v>0</v>
      </c>
      <c r="M701">
        <f t="shared" si="65"/>
        <v>0</v>
      </c>
    </row>
    <row r="702" spans="8:13" x14ac:dyDescent="0.25">
      <c r="H702">
        <f t="shared" si="63"/>
        <v>0</v>
      </c>
      <c r="I702">
        <f t="shared" si="60"/>
        <v>0</v>
      </c>
      <c r="J702">
        <f t="shared" si="61"/>
        <v>0</v>
      </c>
      <c r="K702">
        <f t="shared" si="62"/>
        <v>0</v>
      </c>
      <c r="L702">
        <f t="shared" si="64"/>
        <v>0</v>
      </c>
      <c r="M702">
        <f t="shared" si="65"/>
        <v>0</v>
      </c>
    </row>
    <row r="703" spans="8:13" x14ac:dyDescent="0.25">
      <c r="H703">
        <f t="shared" si="63"/>
        <v>0</v>
      </c>
      <c r="I703">
        <f t="shared" si="60"/>
        <v>0</v>
      </c>
      <c r="J703">
        <f t="shared" si="61"/>
        <v>0</v>
      </c>
      <c r="K703">
        <f t="shared" si="62"/>
        <v>0</v>
      </c>
      <c r="L703">
        <f t="shared" si="64"/>
        <v>0</v>
      </c>
      <c r="M703">
        <f t="shared" si="65"/>
        <v>0</v>
      </c>
    </row>
    <row r="704" spans="8:13" x14ac:dyDescent="0.25">
      <c r="H704">
        <f t="shared" si="63"/>
        <v>0</v>
      </c>
      <c r="I704">
        <f t="shared" si="60"/>
        <v>0</v>
      </c>
      <c r="J704">
        <f t="shared" si="61"/>
        <v>0</v>
      </c>
      <c r="K704">
        <f t="shared" si="62"/>
        <v>0</v>
      </c>
      <c r="L704">
        <f t="shared" si="64"/>
        <v>0</v>
      </c>
      <c r="M704">
        <f t="shared" si="65"/>
        <v>0</v>
      </c>
    </row>
    <row r="705" spans="8:13" x14ac:dyDescent="0.25">
      <c r="H705">
        <f t="shared" si="63"/>
        <v>0</v>
      </c>
      <c r="I705">
        <f t="shared" si="60"/>
        <v>0</v>
      </c>
      <c r="J705">
        <f t="shared" si="61"/>
        <v>0</v>
      </c>
      <c r="K705">
        <f t="shared" si="62"/>
        <v>0</v>
      </c>
      <c r="L705">
        <f t="shared" si="64"/>
        <v>0</v>
      </c>
      <c r="M705">
        <f t="shared" si="65"/>
        <v>0</v>
      </c>
    </row>
    <row r="706" spans="8:13" x14ac:dyDescent="0.25">
      <c r="H706">
        <f t="shared" si="63"/>
        <v>0</v>
      </c>
      <c r="I706">
        <f t="shared" ref="I706:I769" si="66">C706*$I$1</f>
        <v>0</v>
      </c>
      <c r="J706">
        <f t="shared" ref="J706:J769" si="67">D706*$J$1</f>
        <v>0</v>
      </c>
      <c r="K706">
        <f t="shared" ref="K706:K769" si="68">E706*$K$1</f>
        <v>0</v>
      </c>
      <c r="L706">
        <f t="shared" si="64"/>
        <v>0</v>
      </c>
      <c r="M706">
        <f t="shared" si="65"/>
        <v>0</v>
      </c>
    </row>
    <row r="707" spans="8:13" x14ac:dyDescent="0.25">
      <c r="H707">
        <f t="shared" ref="H707:H770" si="69">B707*$H$1</f>
        <v>0</v>
      </c>
      <c r="I707">
        <f t="shared" si="66"/>
        <v>0</v>
      </c>
      <c r="J707">
        <f t="shared" si="67"/>
        <v>0</v>
      </c>
      <c r="K707">
        <f t="shared" si="68"/>
        <v>0</v>
      </c>
      <c r="L707">
        <f t="shared" ref="L707:L770" si="70">F707*$L$1</f>
        <v>0</v>
      </c>
      <c r="M707">
        <f t="shared" ref="M707:M770" si="71">SUM(H707:L707)</f>
        <v>0</v>
      </c>
    </row>
    <row r="708" spans="8:13" x14ac:dyDescent="0.25">
      <c r="H708">
        <f t="shared" si="69"/>
        <v>0</v>
      </c>
      <c r="I708">
        <f t="shared" si="66"/>
        <v>0</v>
      </c>
      <c r="J708">
        <f t="shared" si="67"/>
        <v>0</v>
      </c>
      <c r="K708">
        <f t="shared" si="68"/>
        <v>0</v>
      </c>
      <c r="L708">
        <f t="shared" si="70"/>
        <v>0</v>
      </c>
      <c r="M708">
        <f t="shared" si="71"/>
        <v>0</v>
      </c>
    </row>
    <row r="709" spans="8:13" x14ac:dyDescent="0.25">
      <c r="H709">
        <f t="shared" si="69"/>
        <v>0</v>
      </c>
      <c r="I709">
        <f t="shared" si="66"/>
        <v>0</v>
      </c>
      <c r="J709">
        <f t="shared" si="67"/>
        <v>0</v>
      </c>
      <c r="K709">
        <f t="shared" si="68"/>
        <v>0</v>
      </c>
      <c r="L709">
        <f t="shared" si="70"/>
        <v>0</v>
      </c>
      <c r="M709">
        <f t="shared" si="71"/>
        <v>0</v>
      </c>
    </row>
    <row r="710" spans="8:13" x14ac:dyDescent="0.25">
      <c r="H710">
        <f t="shared" si="69"/>
        <v>0</v>
      </c>
      <c r="I710">
        <f t="shared" si="66"/>
        <v>0</v>
      </c>
      <c r="J710">
        <f t="shared" si="67"/>
        <v>0</v>
      </c>
      <c r="K710">
        <f t="shared" si="68"/>
        <v>0</v>
      </c>
      <c r="L710">
        <f t="shared" si="70"/>
        <v>0</v>
      </c>
      <c r="M710">
        <f t="shared" si="71"/>
        <v>0</v>
      </c>
    </row>
    <row r="711" spans="8:13" x14ac:dyDescent="0.25">
      <c r="H711">
        <f t="shared" si="69"/>
        <v>0</v>
      </c>
      <c r="I711">
        <f t="shared" si="66"/>
        <v>0</v>
      </c>
      <c r="J711">
        <f t="shared" si="67"/>
        <v>0</v>
      </c>
      <c r="K711">
        <f t="shared" si="68"/>
        <v>0</v>
      </c>
      <c r="L711">
        <f t="shared" si="70"/>
        <v>0</v>
      </c>
      <c r="M711">
        <f t="shared" si="71"/>
        <v>0</v>
      </c>
    </row>
    <row r="712" spans="8:13" x14ac:dyDescent="0.25">
      <c r="H712">
        <f t="shared" si="69"/>
        <v>0</v>
      </c>
      <c r="I712">
        <f t="shared" si="66"/>
        <v>0</v>
      </c>
      <c r="J712">
        <f t="shared" si="67"/>
        <v>0</v>
      </c>
      <c r="K712">
        <f t="shared" si="68"/>
        <v>0</v>
      </c>
      <c r="L712">
        <f t="shared" si="70"/>
        <v>0</v>
      </c>
      <c r="M712">
        <f t="shared" si="71"/>
        <v>0</v>
      </c>
    </row>
    <row r="713" spans="8:13" x14ac:dyDescent="0.25">
      <c r="H713">
        <f t="shared" si="69"/>
        <v>0</v>
      </c>
      <c r="I713">
        <f t="shared" si="66"/>
        <v>0</v>
      </c>
      <c r="J713">
        <f t="shared" si="67"/>
        <v>0</v>
      </c>
      <c r="K713">
        <f t="shared" si="68"/>
        <v>0</v>
      </c>
      <c r="L713">
        <f t="shared" si="70"/>
        <v>0</v>
      </c>
      <c r="M713">
        <f t="shared" si="71"/>
        <v>0</v>
      </c>
    </row>
    <row r="714" spans="8:13" x14ac:dyDescent="0.25">
      <c r="H714">
        <f t="shared" si="69"/>
        <v>0</v>
      </c>
      <c r="I714">
        <f t="shared" si="66"/>
        <v>0</v>
      </c>
      <c r="J714">
        <f t="shared" si="67"/>
        <v>0</v>
      </c>
      <c r="K714">
        <f t="shared" si="68"/>
        <v>0</v>
      </c>
      <c r="L714">
        <f t="shared" si="70"/>
        <v>0</v>
      </c>
      <c r="M714">
        <f t="shared" si="71"/>
        <v>0</v>
      </c>
    </row>
    <row r="715" spans="8:13" x14ac:dyDescent="0.25">
      <c r="H715">
        <f t="shared" si="69"/>
        <v>0</v>
      </c>
      <c r="I715">
        <f t="shared" si="66"/>
        <v>0</v>
      </c>
      <c r="J715">
        <f t="shared" si="67"/>
        <v>0</v>
      </c>
      <c r="K715">
        <f t="shared" si="68"/>
        <v>0</v>
      </c>
      <c r="L715">
        <f t="shared" si="70"/>
        <v>0</v>
      </c>
      <c r="M715">
        <f t="shared" si="71"/>
        <v>0</v>
      </c>
    </row>
    <row r="716" spans="8:13" x14ac:dyDescent="0.25">
      <c r="H716">
        <f t="shared" si="69"/>
        <v>0</v>
      </c>
      <c r="I716">
        <f t="shared" si="66"/>
        <v>0</v>
      </c>
      <c r="J716">
        <f t="shared" si="67"/>
        <v>0</v>
      </c>
      <c r="K716">
        <f t="shared" si="68"/>
        <v>0</v>
      </c>
      <c r="L716">
        <f t="shared" si="70"/>
        <v>0</v>
      </c>
      <c r="M716">
        <f t="shared" si="71"/>
        <v>0</v>
      </c>
    </row>
    <row r="717" spans="8:13" x14ac:dyDescent="0.25">
      <c r="H717">
        <f t="shared" si="69"/>
        <v>0</v>
      </c>
      <c r="I717">
        <f t="shared" si="66"/>
        <v>0</v>
      </c>
      <c r="J717">
        <f t="shared" si="67"/>
        <v>0</v>
      </c>
      <c r="K717">
        <f t="shared" si="68"/>
        <v>0</v>
      </c>
      <c r="L717">
        <f t="shared" si="70"/>
        <v>0</v>
      </c>
      <c r="M717">
        <f t="shared" si="71"/>
        <v>0</v>
      </c>
    </row>
    <row r="718" spans="8:13" x14ac:dyDescent="0.25">
      <c r="H718">
        <f t="shared" si="69"/>
        <v>0</v>
      </c>
      <c r="I718">
        <f t="shared" si="66"/>
        <v>0</v>
      </c>
      <c r="J718">
        <f t="shared" si="67"/>
        <v>0</v>
      </c>
      <c r="K718">
        <f t="shared" si="68"/>
        <v>0</v>
      </c>
      <c r="L718">
        <f t="shared" si="70"/>
        <v>0</v>
      </c>
      <c r="M718">
        <f t="shared" si="71"/>
        <v>0</v>
      </c>
    </row>
    <row r="719" spans="8:13" x14ac:dyDescent="0.25">
      <c r="H719">
        <f t="shared" si="69"/>
        <v>0</v>
      </c>
      <c r="I719">
        <f t="shared" si="66"/>
        <v>0</v>
      </c>
      <c r="J719">
        <f t="shared" si="67"/>
        <v>0</v>
      </c>
      <c r="K719">
        <f t="shared" si="68"/>
        <v>0</v>
      </c>
      <c r="L719">
        <f t="shared" si="70"/>
        <v>0</v>
      </c>
      <c r="M719">
        <f t="shared" si="71"/>
        <v>0</v>
      </c>
    </row>
    <row r="720" spans="8:13" x14ac:dyDescent="0.25">
      <c r="H720">
        <f t="shared" si="69"/>
        <v>0</v>
      </c>
      <c r="I720">
        <f t="shared" si="66"/>
        <v>0</v>
      </c>
      <c r="J720">
        <f t="shared" si="67"/>
        <v>0</v>
      </c>
      <c r="K720">
        <f t="shared" si="68"/>
        <v>0</v>
      </c>
      <c r="L720">
        <f t="shared" si="70"/>
        <v>0</v>
      </c>
      <c r="M720">
        <f t="shared" si="71"/>
        <v>0</v>
      </c>
    </row>
    <row r="721" spans="8:13" x14ac:dyDescent="0.25">
      <c r="H721">
        <f t="shared" si="69"/>
        <v>0</v>
      </c>
      <c r="I721">
        <f t="shared" si="66"/>
        <v>0</v>
      </c>
      <c r="J721">
        <f t="shared" si="67"/>
        <v>0</v>
      </c>
      <c r="K721">
        <f t="shared" si="68"/>
        <v>0</v>
      </c>
      <c r="L721">
        <f t="shared" si="70"/>
        <v>0</v>
      </c>
      <c r="M721">
        <f t="shared" si="71"/>
        <v>0</v>
      </c>
    </row>
    <row r="722" spans="8:13" x14ac:dyDescent="0.25">
      <c r="H722">
        <f t="shared" si="69"/>
        <v>0</v>
      </c>
      <c r="I722">
        <f t="shared" si="66"/>
        <v>0</v>
      </c>
      <c r="J722">
        <f t="shared" si="67"/>
        <v>0</v>
      </c>
      <c r="K722">
        <f t="shared" si="68"/>
        <v>0</v>
      </c>
      <c r="L722">
        <f t="shared" si="70"/>
        <v>0</v>
      </c>
      <c r="M722">
        <f t="shared" si="71"/>
        <v>0</v>
      </c>
    </row>
    <row r="723" spans="8:13" x14ac:dyDescent="0.25">
      <c r="H723">
        <f t="shared" si="69"/>
        <v>0</v>
      </c>
      <c r="I723">
        <f t="shared" si="66"/>
        <v>0</v>
      </c>
      <c r="J723">
        <f t="shared" si="67"/>
        <v>0</v>
      </c>
      <c r="K723">
        <f t="shared" si="68"/>
        <v>0</v>
      </c>
      <c r="L723">
        <f t="shared" si="70"/>
        <v>0</v>
      </c>
      <c r="M723">
        <f t="shared" si="71"/>
        <v>0</v>
      </c>
    </row>
    <row r="724" spans="8:13" x14ac:dyDescent="0.25">
      <c r="H724">
        <f t="shared" si="69"/>
        <v>0</v>
      </c>
      <c r="I724">
        <f t="shared" si="66"/>
        <v>0</v>
      </c>
      <c r="J724">
        <f t="shared" si="67"/>
        <v>0</v>
      </c>
      <c r="K724">
        <f t="shared" si="68"/>
        <v>0</v>
      </c>
      <c r="L724">
        <f t="shared" si="70"/>
        <v>0</v>
      </c>
      <c r="M724">
        <f t="shared" si="71"/>
        <v>0</v>
      </c>
    </row>
    <row r="725" spans="8:13" x14ac:dyDescent="0.25">
      <c r="H725">
        <f t="shared" si="69"/>
        <v>0</v>
      </c>
      <c r="I725">
        <f t="shared" si="66"/>
        <v>0</v>
      </c>
      <c r="J725">
        <f t="shared" si="67"/>
        <v>0</v>
      </c>
      <c r="K725">
        <f t="shared" si="68"/>
        <v>0</v>
      </c>
      <c r="L725">
        <f t="shared" si="70"/>
        <v>0</v>
      </c>
      <c r="M725">
        <f t="shared" si="71"/>
        <v>0</v>
      </c>
    </row>
    <row r="726" spans="8:13" x14ac:dyDescent="0.25">
      <c r="H726">
        <f t="shared" si="69"/>
        <v>0</v>
      </c>
      <c r="I726">
        <f t="shared" si="66"/>
        <v>0</v>
      </c>
      <c r="J726">
        <f t="shared" si="67"/>
        <v>0</v>
      </c>
      <c r="K726">
        <f t="shared" si="68"/>
        <v>0</v>
      </c>
      <c r="L726">
        <f t="shared" si="70"/>
        <v>0</v>
      </c>
      <c r="M726">
        <f t="shared" si="71"/>
        <v>0</v>
      </c>
    </row>
    <row r="727" spans="8:13" x14ac:dyDescent="0.25">
      <c r="H727">
        <f t="shared" si="69"/>
        <v>0</v>
      </c>
      <c r="I727">
        <f t="shared" si="66"/>
        <v>0</v>
      </c>
      <c r="J727">
        <f t="shared" si="67"/>
        <v>0</v>
      </c>
      <c r="K727">
        <f t="shared" si="68"/>
        <v>0</v>
      </c>
      <c r="L727">
        <f t="shared" si="70"/>
        <v>0</v>
      </c>
      <c r="M727">
        <f t="shared" si="71"/>
        <v>0</v>
      </c>
    </row>
    <row r="728" spans="8:13" x14ac:dyDescent="0.25">
      <c r="H728">
        <f t="shared" si="69"/>
        <v>0</v>
      </c>
      <c r="I728">
        <f t="shared" si="66"/>
        <v>0</v>
      </c>
      <c r="J728">
        <f t="shared" si="67"/>
        <v>0</v>
      </c>
      <c r="K728">
        <f t="shared" si="68"/>
        <v>0</v>
      </c>
      <c r="L728">
        <f t="shared" si="70"/>
        <v>0</v>
      </c>
      <c r="M728">
        <f t="shared" si="71"/>
        <v>0</v>
      </c>
    </row>
    <row r="729" spans="8:13" x14ac:dyDescent="0.25">
      <c r="H729">
        <f t="shared" si="69"/>
        <v>0</v>
      </c>
      <c r="I729">
        <f t="shared" si="66"/>
        <v>0</v>
      </c>
      <c r="J729">
        <f t="shared" si="67"/>
        <v>0</v>
      </c>
      <c r="K729">
        <f t="shared" si="68"/>
        <v>0</v>
      </c>
      <c r="L729">
        <f t="shared" si="70"/>
        <v>0</v>
      </c>
      <c r="M729">
        <f t="shared" si="71"/>
        <v>0</v>
      </c>
    </row>
    <row r="730" spans="8:13" x14ac:dyDescent="0.25">
      <c r="H730">
        <f t="shared" si="69"/>
        <v>0</v>
      </c>
      <c r="I730">
        <f t="shared" si="66"/>
        <v>0</v>
      </c>
      <c r="J730">
        <f t="shared" si="67"/>
        <v>0</v>
      </c>
      <c r="K730">
        <f t="shared" si="68"/>
        <v>0</v>
      </c>
      <c r="L730">
        <f t="shared" si="70"/>
        <v>0</v>
      </c>
      <c r="M730">
        <f t="shared" si="71"/>
        <v>0</v>
      </c>
    </row>
    <row r="731" spans="8:13" x14ac:dyDescent="0.25">
      <c r="H731">
        <f t="shared" si="69"/>
        <v>0</v>
      </c>
      <c r="I731">
        <f t="shared" si="66"/>
        <v>0</v>
      </c>
      <c r="J731">
        <f t="shared" si="67"/>
        <v>0</v>
      </c>
      <c r="K731">
        <f t="shared" si="68"/>
        <v>0</v>
      </c>
      <c r="L731">
        <f t="shared" si="70"/>
        <v>0</v>
      </c>
      <c r="M731">
        <f t="shared" si="71"/>
        <v>0</v>
      </c>
    </row>
    <row r="732" spans="8:13" x14ac:dyDescent="0.25">
      <c r="H732">
        <f t="shared" si="69"/>
        <v>0</v>
      </c>
      <c r="I732">
        <f t="shared" si="66"/>
        <v>0</v>
      </c>
      <c r="J732">
        <f t="shared" si="67"/>
        <v>0</v>
      </c>
      <c r="K732">
        <f t="shared" si="68"/>
        <v>0</v>
      </c>
      <c r="L732">
        <f t="shared" si="70"/>
        <v>0</v>
      </c>
      <c r="M732">
        <f t="shared" si="71"/>
        <v>0</v>
      </c>
    </row>
    <row r="733" spans="8:13" x14ac:dyDescent="0.25">
      <c r="H733">
        <f t="shared" si="69"/>
        <v>0</v>
      </c>
      <c r="I733">
        <f t="shared" si="66"/>
        <v>0</v>
      </c>
      <c r="J733">
        <f t="shared" si="67"/>
        <v>0</v>
      </c>
      <c r="K733">
        <f t="shared" si="68"/>
        <v>0</v>
      </c>
      <c r="L733">
        <f t="shared" si="70"/>
        <v>0</v>
      </c>
      <c r="M733">
        <f t="shared" si="71"/>
        <v>0</v>
      </c>
    </row>
    <row r="734" spans="8:13" x14ac:dyDescent="0.25">
      <c r="H734">
        <f t="shared" si="69"/>
        <v>0</v>
      </c>
      <c r="I734">
        <f t="shared" si="66"/>
        <v>0</v>
      </c>
      <c r="J734">
        <f t="shared" si="67"/>
        <v>0</v>
      </c>
      <c r="K734">
        <f t="shared" si="68"/>
        <v>0</v>
      </c>
      <c r="L734">
        <f t="shared" si="70"/>
        <v>0</v>
      </c>
      <c r="M734">
        <f t="shared" si="71"/>
        <v>0</v>
      </c>
    </row>
    <row r="735" spans="8:13" x14ac:dyDescent="0.25">
      <c r="H735">
        <f t="shared" si="69"/>
        <v>0</v>
      </c>
      <c r="I735">
        <f t="shared" si="66"/>
        <v>0</v>
      </c>
      <c r="J735">
        <f t="shared" si="67"/>
        <v>0</v>
      </c>
      <c r="K735">
        <f t="shared" si="68"/>
        <v>0</v>
      </c>
      <c r="L735">
        <f t="shared" si="70"/>
        <v>0</v>
      </c>
      <c r="M735">
        <f t="shared" si="71"/>
        <v>0</v>
      </c>
    </row>
    <row r="736" spans="8:13" x14ac:dyDescent="0.25">
      <c r="H736">
        <f t="shared" si="69"/>
        <v>0</v>
      </c>
      <c r="I736">
        <f t="shared" si="66"/>
        <v>0</v>
      </c>
      <c r="J736">
        <f t="shared" si="67"/>
        <v>0</v>
      </c>
      <c r="K736">
        <f t="shared" si="68"/>
        <v>0</v>
      </c>
      <c r="L736">
        <f t="shared" si="70"/>
        <v>0</v>
      </c>
      <c r="M736">
        <f t="shared" si="71"/>
        <v>0</v>
      </c>
    </row>
    <row r="737" spans="8:13" x14ac:dyDescent="0.25">
      <c r="H737">
        <f t="shared" si="69"/>
        <v>0</v>
      </c>
      <c r="I737">
        <f t="shared" si="66"/>
        <v>0</v>
      </c>
      <c r="J737">
        <f t="shared" si="67"/>
        <v>0</v>
      </c>
      <c r="K737">
        <f t="shared" si="68"/>
        <v>0</v>
      </c>
      <c r="L737">
        <f t="shared" si="70"/>
        <v>0</v>
      </c>
      <c r="M737">
        <f t="shared" si="71"/>
        <v>0</v>
      </c>
    </row>
    <row r="738" spans="8:13" x14ac:dyDescent="0.25">
      <c r="H738">
        <f t="shared" si="69"/>
        <v>0</v>
      </c>
      <c r="I738">
        <f t="shared" si="66"/>
        <v>0</v>
      </c>
      <c r="J738">
        <f t="shared" si="67"/>
        <v>0</v>
      </c>
      <c r="K738">
        <f t="shared" si="68"/>
        <v>0</v>
      </c>
      <c r="L738">
        <f t="shared" si="70"/>
        <v>0</v>
      </c>
      <c r="M738">
        <f t="shared" si="71"/>
        <v>0</v>
      </c>
    </row>
    <row r="739" spans="8:13" x14ac:dyDescent="0.25">
      <c r="H739">
        <f t="shared" si="69"/>
        <v>0</v>
      </c>
      <c r="I739">
        <f t="shared" si="66"/>
        <v>0</v>
      </c>
      <c r="J739">
        <f t="shared" si="67"/>
        <v>0</v>
      </c>
      <c r="K739">
        <f t="shared" si="68"/>
        <v>0</v>
      </c>
      <c r="L739">
        <f t="shared" si="70"/>
        <v>0</v>
      </c>
      <c r="M739">
        <f t="shared" si="71"/>
        <v>0</v>
      </c>
    </row>
    <row r="740" spans="8:13" x14ac:dyDescent="0.25">
      <c r="H740">
        <f t="shared" si="69"/>
        <v>0</v>
      </c>
      <c r="I740">
        <f t="shared" si="66"/>
        <v>0</v>
      </c>
      <c r="J740">
        <f t="shared" si="67"/>
        <v>0</v>
      </c>
      <c r="K740">
        <f t="shared" si="68"/>
        <v>0</v>
      </c>
      <c r="L740">
        <f t="shared" si="70"/>
        <v>0</v>
      </c>
      <c r="M740">
        <f t="shared" si="71"/>
        <v>0</v>
      </c>
    </row>
    <row r="741" spans="8:13" x14ac:dyDescent="0.25">
      <c r="H741">
        <f t="shared" si="69"/>
        <v>0</v>
      </c>
      <c r="I741">
        <f t="shared" si="66"/>
        <v>0</v>
      </c>
      <c r="J741">
        <f t="shared" si="67"/>
        <v>0</v>
      </c>
      <c r="K741">
        <f t="shared" si="68"/>
        <v>0</v>
      </c>
      <c r="L741">
        <f t="shared" si="70"/>
        <v>0</v>
      </c>
      <c r="M741">
        <f t="shared" si="71"/>
        <v>0</v>
      </c>
    </row>
    <row r="742" spans="8:13" x14ac:dyDescent="0.25">
      <c r="H742">
        <f t="shared" si="69"/>
        <v>0</v>
      </c>
      <c r="I742">
        <f t="shared" si="66"/>
        <v>0</v>
      </c>
      <c r="J742">
        <f t="shared" si="67"/>
        <v>0</v>
      </c>
      <c r="K742">
        <f t="shared" si="68"/>
        <v>0</v>
      </c>
      <c r="L742">
        <f t="shared" si="70"/>
        <v>0</v>
      </c>
      <c r="M742">
        <f t="shared" si="71"/>
        <v>0</v>
      </c>
    </row>
    <row r="743" spans="8:13" x14ac:dyDescent="0.25">
      <c r="H743">
        <f t="shared" si="69"/>
        <v>0</v>
      </c>
      <c r="I743">
        <f t="shared" si="66"/>
        <v>0</v>
      </c>
      <c r="J743">
        <f t="shared" si="67"/>
        <v>0</v>
      </c>
      <c r="K743">
        <f t="shared" si="68"/>
        <v>0</v>
      </c>
      <c r="L743">
        <f t="shared" si="70"/>
        <v>0</v>
      </c>
      <c r="M743">
        <f t="shared" si="71"/>
        <v>0</v>
      </c>
    </row>
    <row r="744" spans="8:13" x14ac:dyDescent="0.25">
      <c r="H744">
        <f t="shared" si="69"/>
        <v>0</v>
      </c>
      <c r="I744">
        <f t="shared" si="66"/>
        <v>0</v>
      </c>
      <c r="J744">
        <f t="shared" si="67"/>
        <v>0</v>
      </c>
      <c r="K744">
        <f t="shared" si="68"/>
        <v>0</v>
      </c>
      <c r="L744">
        <f t="shared" si="70"/>
        <v>0</v>
      </c>
      <c r="M744">
        <f t="shared" si="71"/>
        <v>0</v>
      </c>
    </row>
    <row r="745" spans="8:13" x14ac:dyDescent="0.25">
      <c r="H745">
        <f t="shared" si="69"/>
        <v>0</v>
      </c>
      <c r="I745">
        <f t="shared" si="66"/>
        <v>0</v>
      </c>
      <c r="J745">
        <f t="shared" si="67"/>
        <v>0</v>
      </c>
      <c r="K745">
        <f t="shared" si="68"/>
        <v>0</v>
      </c>
      <c r="L745">
        <f t="shared" si="70"/>
        <v>0</v>
      </c>
      <c r="M745">
        <f t="shared" si="71"/>
        <v>0</v>
      </c>
    </row>
    <row r="746" spans="8:13" x14ac:dyDescent="0.25">
      <c r="H746">
        <f t="shared" si="69"/>
        <v>0</v>
      </c>
      <c r="I746">
        <f t="shared" si="66"/>
        <v>0</v>
      </c>
      <c r="J746">
        <f t="shared" si="67"/>
        <v>0</v>
      </c>
      <c r="K746">
        <f t="shared" si="68"/>
        <v>0</v>
      </c>
      <c r="L746">
        <f t="shared" si="70"/>
        <v>0</v>
      </c>
      <c r="M746">
        <f t="shared" si="71"/>
        <v>0</v>
      </c>
    </row>
    <row r="747" spans="8:13" x14ac:dyDescent="0.25">
      <c r="H747">
        <f t="shared" si="69"/>
        <v>0</v>
      </c>
      <c r="I747">
        <f t="shared" si="66"/>
        <v>0</v>
      </c>
      <c r="J747">
        <f t="shared" si="67"/>
        <v>0</v>
      </c>
      <c r="K747">
        <f t="shared" si="68"/>
        <v>0</v>
      </c>
      <c r="L747">
        <f t="shared" si="70"/>
        <v>0</v>
      </c>
      <c r="M747">
        <f t="shared" si="71"/>
        <v>0</v>
      </c>
    </row>
    <row r="748" spans="8:13" x14ac:dyDescent="0.25">
      <c r="H748">
        <f t="shared" si="69"/>
        <v>0</v>
      </c>
      <c r="I748">
        <f t="shared" si="66"/>
        <v>0</v>
      </c>
      <c r="J748">
        <f t="shared" si="67"/>
        <v>0</v>
      </c>
      <c r="K748">
        <f t="shared" si="68"/>
        <v>0</v>
      </c>
      <c r="L748">
        <f t="shared" si="70"/>
        <v>0</v>
      </c>
      <c r="M748">
        <f t="shared" si="71"/>
        <v>0</v>
      </c>
    </row>
    <row r="749" spans="8:13" x14ac:dyDescent="0.25">
      <c r="H749">
        <f t="shared" si="69"/>
        <v>0</v>
      </c>
      <c r="I749">
        <f t="shared" si="66"/>
        <v>0</v>
      </c>
      <c r="J749">
        <f t="shared" si="67"/>
        <v>0</v>
      </c>
      <c r="K749">
        <f t="shared" si="68"/>
        <v>0</v>
      </c>
      <c r="L749">
        <f t="shared" si="70"/>
        <v>0</v>
      </c>
      <c r="M749">
        <f t="shared" si="71"/>
        <v>0</v>
      </c>
    </row>
    <row r="750" spans="8:13" x14ac:dyDescent="0.25">
      <c r="H750">
        <f t="shared" si="69"/>
        <v>0</v>
      </c>
      <c r="I750">
        <f t="shared" si="66"/>
        <v>0</v>
      </c>
      <c r="J750">
        <f t="shared" si="67"/>
        <v>0</v>
      </c>
      <c r="K750">
        <f t="shared" si="68"/>
        <v>0</v>
      </c>
      <c r="L750">
        <f t="shared" si="70"/>
        <v>0</v>
      </c>
      <c r="M750">
        <f t="shared" si="71"/>
        <v>0</v>
      </c>
    </row>
    <row r="751" spans="8:13" x14ac:dyDescent="0.25">
      <c r="H751">
        <f t="shared" si="69"/>
        <v>0</v>
      </c>
      <c r="I751">
        <f t="shared" si="66"/>
        <v>0</v>
      </c>
      <c r="J751">
        <f t="shared" si="67"/>
        <v>0</v>
      </c>
      <c r="K751">
        <f t="shared" si="68"/>
        <v>0</v>
      </c>
      <c r="L751">
        <f t="shared" si="70"/>
        <v>0</v>
      </c>
      <c r="M751">
        <f t="shared" si="71"/>
        <v>0</v>
      </c>
    </row>
    <row r="752" spans="8:13" x14ac:dyDescent="0.25">
      <c r="H752">
        <f t="shared" si="69"/>
        <v>0</v>
      </c>
      <c r="I752">
        <f t="shared" si="66"/>
        <v>0</v>
      </c>
      <c r="J752">
        <f t="shared" si="67"/>
        <v>0</v>
      </c>
      <c r="K752">
        <f t="shared" si="68"/>
        <v>0</v>
      </c>
      <c r="L752">
        <f t="shared" si="70"/>
        <v>0</v>
      </c>
      <c r="M752">
        <f t="shared" si="71"/>
        <v>0</v>
      </c>
    </row>
    <row r="753" spans="8:13" x14ac:dyDescent="0.25">
      <c r="H753">
        <f t="shared" si="69"/>
        <v>0</v>
      </c>
      <c r="I753">
        <f t="shared" si="66"/>
        <v>0</v>
      </c>
      <c r="J753">
        <f t="shared" si="67"/>
        <v>0</v>
      </c>
      <c r="K753">
        <f t="shared" si="68"/>
        <v>0</v>
      </c>
      <c r="L753">
        <f t="shared" si="70"/>
        <v>0</v>
      </c>
      <c r="M753">
        <f t="shared" si="71"/>
        <v>0</v>
      </c>
    </row>
    <row r="754" spans="8:13" x14ac:dyDescent="0.25">
      <c r="H754">
        <f t="shared" si="69"/>
        <v>0</v>
      </c>
      <c r="I754">
        <f t="shared" si="66"/>
        <v>0</v>
      </c>
      <c r="J754">
        <f t="shared" si="67"/>
        <v>0</v>
      </c>
      <c r="K754">
        <f t="shared" si="68"/>
        <v>0</v>
      </c>
      <c r="L754">
        <f t="shared" si="70"/>
        <v>0</v>
      </c>
      <c r="M754">
        <f t="shared" si="71"/>
        <v>0</v>
      </c>
    </row>
    <row r="755" spans="8:13" x14ac:dyDescent="0.25">
      <c r="H755">
        <f t="shared" si="69"/>
        <v>0</v>
      </c>
      <c r="I755">
        <f t="shared" si="66"/>
        <v>0</v>
      </c>
      <c r="J755">
        <f t="shared" si="67"/>
        <v>0</v>
      </c>
      <c r="K755">
        <f t="shared" si="68"/>
        <v>0</v>
      </c>
      <c r="L755">
        <f t="shared" si="70"/>
        <v>0</v>
      </c>
      <c r="M755">
        <f t="shared" si="71"/>
        <v>0</v>
      </c>
    </row>
    <row r="756" spans="8:13" x14ac:dyDescent="0.25">
      <c r="H756">
        <f t="shared" si="69"/>
        <v>0</v>
      </c>
      <c r="I756">
        <f t="shared" si="66"/>
        <v>0</v>
      </c>
      <c r="J756">
        <f t="shared" si="67"/>
        <v>0</v>
      </c>
      <c r="K756">
        <f t="shared" si="68"/>
        <v>0</v>
      </c>
      <c r="L756">
        <f t="shared" si="70"/>
        <v>0</v>
      </c>
      <c r="M756">
        <f t="shared" si="71"/>
        <v>0</v>
      </c>
    </row>
    <row r="757" spans="8:13" x14ac:dyDescent="0.25">
      <c r="H757">
        <f t="shared" si="69"/>
        <v>0</v>
      </c>
      <c r="I757">
        <f t="shared" si="66"/>
        <v>0</v>
      </c>
      <c r="J757">
        <f t="shared" si="67"/>
        <v>0</v>
      </c>
      <c r="K757">
        <f t="shared" si="68"/>
        <v>0</v>
      </c>
      <c r="L757">
        <f t="shared" si="70"/>
        <v>0</v>
      </c>
      <c r="M757">
        <f t="shared" si="71"/>
        <v>0</v>
      </c>
    </row>
    <row r="758" spans="8:13" x14ac:dyDescent="0.25">
      <c r="H758">
        <f t="shared" si="69"/>
        <v>0</v>
      </c>
      <c r="I758">
        <f t="shared" si="66"/>
        <v>0</v>
      </c>
      <c r="J758">
        <f t="shared" si="67"/>
        <v>0</v>
      </c>
      <c r="K758">
        <f t="shared" si="68"/>
        <v>0</v>
      </c>
      <c r="L758">
        <f t="shared" si="70"/>
        <v>0</v>
      </c>
      <c r="M758">
        <f t="shared" si="71"/>
        <v>0</v>
      </c>
    </row>
    <row r="759" spans="8:13" x14ac:dyDescent="0.25">
      <c r="H759">
        <f t="shared" si="69"/>
        <v>0</v>
      </c>
      <c r="I759">
        <f t="shared" si="66"/>
        <v>0</v>
      </c>
      <c r="J759">
        <f t="shared" si="67"/>
        <v>0</v>
      </c>
      <c r="K759">
        <f t="shared" si="68"/>
        <v>0</v>
      </c>
      <c r="L759">
        <f t="shared" si="70"/>
        <v>0</v>
      </c>
      <c r="M759">
        <f t="shared" si="71"/>
        <v>0</v>
      </c>
    </row>
    <row r="760" spans="8:13" x14ac:dyDescent="0.25">
      <c r="H760">
        <f t="shared" si="69"/>
        <v>0</v>
      </c>
      <c r="I760">
        <f t="shared" si="66"/>
        <v>0</v>
      </c>
      <c r="J760">
        <f t="shared" si="67"/>
        <v>0</v>
      </c>
      <c r="K760">
        <f t="shared" si="68"/>
        <v>0</v>
      </c>
      <c r="L760">
        <f t="shared" si="70"/>
        <v>0</v>
      </c>
      <c r="M760">
        <f t="shared" si="71"/>
        <v>0</v>
      </c>
    </row>
    <row r="761" spans="8:13" x14ac:dyDescent="0.25">
      <c r="H761">
        <f t="shared" si="69"/>
        <v>0</v>
      </c>
      <c r="I761">
        <f t="shared" si="66"/>
        <v>0</v>
      </c>
      <c r="J761">
        <f t="shared" si="67"/>
        <v>0</v>
      </c>
      <c r="K761">
        <f t="shared" si="68"/>
        <v>0</v>
      </c>
      <c r="L761">
        <f t="shared" si="70"/>
        <v>0</v>
      </c>
      <c r="M761">
        <f t="shared" si="71"/>
        <v>0</v>
      </c>
    </row>
    <row r="762" spans="8:13" x14ac:dyDescent="0.25">
      <c r="H762">
        <f t="shared" si="69"/>
        <v>0</v>
      </c>
      <c r="I762">
        <f t="shared" si="66"/>
        <v>0</v>
      </c>
      <c r="J762">
        <f t="shared" si="67"/>
        <v>0</v>
      </c>
      <c r="K762">
        <f t="shared" si="68"/>
        <v>0</v>
      </c>
      <c r="L762">
        <f t="shared" si="70"/>
        <v>0</v>
      </c>
      <c r="M762">
        <f t="shared" si="71"/>
        <v>0</v>
      </c>
    </row>
    <row r="763" spans="8:13" x14ac:dyDescent="0.25">
      <c r="H763">
        <f t="shared" si="69"/>
        <v>0</v>
      </c>
      <c r="I763">
        <f t="shared" si="66"/>
        <v>0</v>
      </c>
      <c r="J763">
        <f t="shared" si="67"/>
        <v>0</v>
      </c>
      <c r="K763">
        <f t="shared" si="68"/>
        <v>0</v>
      </c>
      <c r="L763">
        <f t="shared" si="70"/>
        <v>0</v>
      </c>
      <c r="M763">
        <f t="shared" si="71"/>
        <v>0</v>
      </c>
    </row>
    <row r="764" spans="8:13" x14ac:dyDescent="0.25">
      <c r="H764">
        <f t="shared" si="69"/>
        <v>0</v>
      </c>
      <c r="I764">
        <f t="shared" si="66"/>
        <v>0</v>
      </c>
      <c r="J764">
        <f t="shared" si="67"/>
        <v>0</v>
      </c>
      <c r="K764">
        <f t="shared" si="68"/>
        <v>0</v>
      </c>
      <c r="L764">
        <f t="shared" si="70"/>
        <v>0</v>
      </c>
      <c r="M764">
        <f t="shared" si="71"/>
        <v>0</v>
      </c>
    </row>
    <row r="765" spans="8:13" x14ac:dyDescent="0.25">
      <c r="H765">
        <f t="shared" si="69"/>
        <v>0</v>
      </c>
      <c r="I765">
        <f t="shared" si="66"/>
        <v>0</v>
      </c>
      <c r="J765">
        <f t="shared" si="67"/>
        <v>0</v>
      </c>
      <c r="K765">
        <f t="shared" si="68"/>
        <v>0</v>
      </c>
      <c r="L765">
        <f t="shared" si="70"/>
        <v>0</v>
      </c>
      <c r="M765">
        <f t="shared" si="71"/>
        <v>0</v>
      </c>
    </row>
    <row r="766" spans="8:13" x14ac:dyDescent="0.25">
      <c r="H766">
        <f t="shared" si="69"/>
        <v>0</v>
      </c>
      <c r="I766">
        <f t="shared" si="66"/>
        <v>0</v>
      </c>
      <c r="J766">
        <f t="shared" si="67"/>
        <v>0</v>
      </c>
      <c r="K766">
        <f t="shared" si="68"/>
        <v>0</v>
      </c>
      <c r="L766">
        <f t="shared" si="70"/>
        <v>0</v>
      </c>
      <c r="M766">
        <f t="shared" si="71"/>
        <v>0</v>
      </c>
    </row>
    <row r="767" spans="8:13" x14ac:dyDescent="0.25">
      <c r="H767">
        <f t="shared" si="69"/>
        <v>0</v>
      </c>
      <c r="I767">
        <f t="shared" si="66"/>
        <v>0</v>
      </c>
      <c r="J767">
        <f t="shared" si="67"/>
        <v>0</v>
      </c>
      <c r="K767">
        <f t="shared" si="68"/>
        <v>0</v>
      </c>
      <c r="L767">
        <f t="shared" si="70"/>
        <v>0</v>
      </c>
      <c r="M767">
        <f t="shared" si="71"/>
        <v>0</v>
      </c>
    </row>
    <row r="768" spans="8:13" x14ac:dyDescent="0.25">
      <c r="H768">
        <f t="shared" si="69"/>
        <v>0</v>
      </c>
      <c r="I768">
        <f t="shared" si="66"/>
        <v>0</v>
      </c>
      <c r="J768">
        <f t="shared" si="67"/>
        <v>0</v>
      </c>
      <c r="K768">
        <f t="shared" si="68"/>
        <v>0</v>
      </c>
      <c r="L768">
        <f t="shared" si="70"/>
        <v>0</v>
      </c>
      <c r="M768">
        <f t="shared" si="71"/>
        <v>0</v>
      </c>
    </row>
    <row r="769" spans="8:13" x14ac:dyDescent="0.25">
      <c r="H769">
        <f t="shared" si="69"/>
        <v>0</v>
      </c>
      <c r="I769">
        <f t="shared" si="66"/>
        <v>0</v>
      </c>
      <c r="J769">
        <f t="shared" si="67"/>
        <v>0</v>
      </c>
      <c r="K769">
        <f t="shared" si="68"/>
        <v>0</v>
      </c>
      <c r="L769">
        <f t="shared" si="70"/>
        <v>0</v>
      </c>
      <c r="M769">
        <f t="shared" si="71"/>
        <v>0</v>
      </c>
    </row>
    <row r="770" spans="8:13" x14ac:dyDescent="0.25">
      <c r="H770">
        <f t="shared" si="69"/>
        <v>0</v>
      </c>
      <c r="I770">
        <f t="shared" ref="I770:I833" si="72">C770*$I$1</f>
        <v>0</v>
      </c>
      <c r="J770">
        <f t="shared" ref="J770:J833" si="73">D770*$J$1</f>
        <v>0</v>
      </c>
      <c r="K770">
        <f t="shared" ref="K770:K833" si="74">E770*$K$1</f>
        <v>0</v>
      </c>
      <c r="L770">
        <f t="shared" si="70"/>
        <v>0</v>
      </c>
      <c r="M770">
        <f t="shared" si="71"/>
        <v>0</v>
      </c>
    </row>
    <row r="771" spans="8:13" x14ac:dyDescent="0.25">
      <c r="H771">
        <f t="shared" ref="H771:H834" si="75">B771*$H$1</f>
        <v>0</v>
      </c>
      <c r="I771">
        <f t="shared" si="72"/>
        <v>0</v>
      </c>
      <c r="J771">
        <f t="shared" si="73"/>
        <v>0</v>
      </c>
      <c r="K771">
        <f t="shared" si="74"/>
        <v>0</v>
      </c>
      <c r="L771">
        <f t="shared" ref="L771:L834" si="76">F771*$L$1</f>
        <v>0</v>
      </c>
      <c r="M771">
        <f t="shared" ref="M771:M834" si="77">SUM(H771:L771)</f>
        <v>0</v>
      </c>
    </row>
    <row r="772" spans="8:13" x14ac:dyDescent="0.25">
      <c r="H772">
        <f t="shared" si="75"/>
        <v>0</v>
      </c>
      <c r="I772">
        <f t="shared" si="72"/>
        <v>0</v>
      </c>
      <c r="J772">
        <f t="shared" si="73"/>
        <v>0</v>
      </c>
      <c r="K772">
        <f t="shared" si="74"/>
        <v>0</v>
      </c>
      <c r="L772">
        <f t="shared" si="76"/>
        <v>0</v>
      </c>
      <c r="M772">
        <f t="shared" si="77"/>
        <v>0</v>
      </c>
    </row>
    <row r="773" spans="8:13" x14ac:dyDescent="0.25">
      <c r="H773">
        <f t="shared" si="75"/>
        <v>0</v>
      </c>
      <c r="I773">
        <f t="shared" si="72"/>
        <v>0</v>
      </c>
      <c r="J773">
        <f t="shared" si="73"/>
        <v>0</v>
      </c>
      <c r="K773">
        <f t="shared" si="74"/>
        <v>0</v>
      </c>
      <c r="L773">
        <f t="shared" si="76"/>
        <v>0</v>
      </c>
      <c r="M773">
        <f t="shared" si="77"/>
        <v>0</v>
      </c>
    </row>
    <row r="774" spans="8:13" x14ac:dyDescent="0.25">
      <c r="H774">
        <f t="shared" si="75"/>
        <v>0</v>
      </c>
      <c r="I774">
        <f t="shared" si="72"/>
        <v>0</v>
      </c>
      <c r="J774">
        <f t="shared" si="73"/>
        <v>0</v>
      </c>
      <c r="K774">
        <f t="shared" si="74"/>
        <v>0</v>
      </c>
      <c r="L774">
        <f t="shared" si="76"/>
        <v>0</v>
      </c>
      <c r="M774">
        <f t="shared" si="77"/>
        <v>0</v>
      </c>
    </row>
    <row r="775" spans="8:13" x14ac:dyDescent="0.25">
      <c r="H775">
        <f t="shared" si="75"/>
        <v>0</v>
      </c>
      <c r="I775">
        <f t="shared" si="72"/>
        <v>0</v>
      </c>
      <c r="J775">
        <f t="shared" si="73"/>
        <v>0</v>
      </c>
      <c r="K775">
        <f t="shared" si="74"/>
        <v>0</v>
      </c>
      <c r="L775">
        <f t="shared" si="76"/>
        <v>0</v>
      </c>
      <c r="M775">
        <f t="shared" si="77"/>
        <v>0</v>
      </c>
    </row>
    <row r="776" spans="8:13" x14ac:dyDescent="0.25">
      <c r="H776">
        <f t="shared" si="75"/>
        <v>0</v>
      </c>
      <c r="I776">
        <f t="shared" si="72"/>
        <v>0</v>
      </c>
      <c r="J776">
        <f t="shared" si="73"/>
        <v>0</v>
      </c>
      <c r="K776">
        <f t="shared" si="74"/>
        <v>0</v>
      </c>
      <c r="L776">
        <f t="shared" si="76"/>
        <v>0</v>
      </c>
      <c r="M776">
        <f t="shared" si="77"/>
        <v>0</v>
      </c>
    </row>
    <row r="777" spans="8:13" x14ac:dyDescent="0.25">
      <c r="H777">
        <f t="shared" si="75"/>
        <v>0</v>
      </c>
      <c r="I777">
        <f t="shared" si="72"/>
        <v>0</v>
      </c>
      <c r="J777">
        <f t="shared" si="73"/>
        <v>0</v>
      </c>
      <c r="K777">
        <f t="shared" si="74"/>
        <v>0</v>
      </c>
      <c r="L777">
        <f t="shared" si="76"/>
        <v>0</v>
      </c>
      <c r="M777">
        <f t="shared" si="77"/>
        <v>0</v>
      </c>
    </row>
    <row r="778" spans="8:13" x14ac:dyDescent="0.25">
      <c r="H778">
        <f t="shared" si="75"/>
        <v>0</v>
      </c>
      <c r="I778">
        <f t="shared" si="72"/>
        <v>0</v>
      </c>
      <c r="J778">
        <f t="shared" si="73"/>
        <v>0</v>
      </c>
      <c r="K778">
        <f t="shared" si="74"/>
        <v>0</v>
      </c>
      <c r="L778">
        <f t="shared" si="76"/>
        <v>0</v>
      </c>
      <c r="M778">
        <f t="shared" si="77"/>
        <v>0</v>
      </c>
    </row>
    <row r="779" spans="8:13" x14ac:dyDescent="0.25">
      <c r="H779">
        <f t="shared" si="75"/>
        <v>0</v>
      </c>
      <c r="I779">
        <f t="shared" si="72"/>
        <v>0</v>
      </c>
      <c r="J779">
        <f t="shared" si="73"/>
        <v>0</v>
      </c>
      <c r="K779">
        <f t="shared" si="74"/>
        <v>0</v>
      </c>
      <c r="L779">
        <f t="shared" si="76"/>
        <v>0</v>
      </c>
      <c r="M779">
        <f t="shared" si="77"/>
        <v>0</v>
      </c>
    </row>
    <row r="780" spans="8:13" x14ac:dyDescent="0.25">
      <c r="H780">
        <f t="shared" si="75"/>
        <v>0</v>
      </c>
      <c r="I780">
        <f t="shared" si="72"/>
        <v>0</v>
      </c>
      <c r="J780">
        <f t="shared" si="73"/>
        <v>0</v>
      </c>
      <c r="K780">
        <f t="shared" si="74"/>
        <v>0</v>
      </c>
      <c r="L780">
        <f t="shared" si="76"/>
        <v>0</v>
      </c>
      <c r="M780">
        <f t="shared" si="77"/>
        <v>0</v>
      </c>
    </row>
    <row r="781" spans="8:13" x14ac:dyDescent="0.25">
      <c r="H781">
        <f t="shared" si="75"/>
        <v>0</v>
      </c>
      <c r="I781">
        <f t="shared" si="72"/>
        <v>0</v>
      </c>
      <c r="J781">
        <f t="shared" si="73"/>
        <v>0</v>
      </c>
      <c r="K781">
        <f t="shared" si="74"/>
        <v>0</v>
      </c>
      <c r="L781">
        <f t="shared" si="76"/>
        <v>0</v>
      </c>
      <c r="M781">
        <f t="shared" si="77"/>
        <v>0</v>
      </c>
    </row>
    <row r="782" spans="8:13" x14ac:dyDescent="0.25">
      <c r="H782">
        <f t="shared" si="75"/>
        <v>0</v>
      </c>
      <c r="I782">
        <f t="shared" si="72"/>
        <v>0</v>
      </c>
      <c r="J782">
        <f t="shared" si="73"/>
        <v>0</v>
      </c>
      <c r="K782">
        <f t="shared" si="74"/>
        <v>0</v>
      </c>
      <c r="L782">
        <f t="shared" si="76"/>
        <v>0</v>
      </c>
      <c r="M782">
        <f t="shared" si="77"/>
        <v>0</v>
      </c>
    </row>
    <row r="783" spans="8:13" x14ac:dyDescent="0.25">
      <c r="H783">
        <f t="shared" si="75"/>
        <v>0</v>
      </c>
      <c r="I783">
        <f t="shared" si="72"/>
        <v>0</v>
      </c>
      <c r="J783">
        <f t="shared" si="73"/>
        <v>0</v>
      </c>
      <c r="K783">
        <f t="shared" si="74"/>
        <v>0</v>
      </c>
      <c r="L783">
        <f t="shared" si="76"/>
        <v>0</v>
      </c>
      <c r="M783">
        <f t="shared" si="77"/>
        <v>0</v>
      </c>
    </row>
    <row r="784" spans="8:13" x14ac:dyDescent="0.25">
      <c r="H784">
        <f t="shared" si="75"/>
        <v>0</v>
      </c>
      <c r="I784">
        <f t="shared" si="72"/>
        <v>0</v>
      </c>
      <c r="J784">
        <f t="shared" si="73"/>
        <v>0</v>
      </c>
      <c r="K784">
        <f t="shared" si="74"/>
        <v>0</v>
      </c>
      <c r="L784">
        <f t="shared" si="76"/>
        <v>0</v>
      </c>
      <c r="M784">
        <f t="shared" si="77"/>
        <v>0</v>
      </c>
    </row>
    <row r="785" spans="8:13" x14ac:dyDescent="0.25">
      <c r="H785">
        <f t="shared" si="75"/>
        <v>0</v>
      </c>
      <c r="I785">
        <f t="shared" si="72"/>
        <v>0</v>
      </c>
      <c r="J785">
        <f t="shared" si="73"/>
        <v>0</v>
      </c>
      <c r="K785">
        <f t="shared" si="74"/>
        <v>0</v>
      </c>
      <c r="L785">
        <f t="shared" si="76"/>
        <v>0</v>
      </c>
      <c r="M785">
        <f t="shared" si="77"/>
        <v>0</v>
      </c>
    </row>
    <row r="786" spans="8:13" x14ac:dyDescent="0.25">
      <c r="H786">
        <f t="shared" si="75"/>
        <v>0</v>
      </c>
      <c r="I786">
        <f t="shared" si="72"/>
        <v>0</v>
      </c>
      <c r="J786">
        <f t="shared" si="73"/>
        <v>0</v>
      </c>
      <c r="K786">
        <f t="shared" si="74"/>
        <v>0</v>
      </c>
      <c r="L786">
        <f t="shared" si="76"/>
        <v>0</v>
      </c>
      <c r="M786">
        <f t="shared" si="77"/>
        <v>0</v>
      </c>
    </row>
    <row r="787" spans="8:13" x14ac:dyDescent="0.25">
      <c r="H787">
        <f t="shared" si="75"/>
        <v>0</v>
      </c>
      <c r="I787">
        <f t="shared" si="72"/>
        <v>0</v>
      </c>
      <c r="J787">
        <f t="shared" si="73"/>
        <v>0</v>
      </c>
      <c r="K787">
        <f t="shared" si="74"/>
        <v>0</v>
      </c>
      <c r="L787">
        <f t="shared" si="76"/>
        <v>0</v>
      </c>
      <c r="M787">
        <f t="shared" si="77"/>
        <v>0</v>
      </c>
    </row>
    <row r="788" spans="8:13" x14ac:dyDescent="0.25">
      <c r="H788">
        <f t="shared" si="75"/>
        <v>0</v>
      </c>
      <c r="I788">
        <f t="shared" si="72"/>
        <v>0</v>
      </c>
      <c r="J788">
        <f t="shared" si="73"/>
        <v>0</v>
      </c>
      <c r="K788">
        <f t="shared" si="74"/>
        <v>0</v>
      </c>
      <c r="L788">
        <f t="shared" si="76"/>
        <v>0</v>
      </c>
      <c r="M788">
        <f t="shared" si="77"/>
        <v>0</v>
      </c>
    </row>
    <row r="789" spans="8:13" x14ac:dyDescent="0.25">
      <c r="H789">
        <f t="shared" si="75"/>
        <v>0</v>
      </c>
      <c r="I789">
        <f t="shared" si="72"/>
        <v>0</v>
      </c>
      <c r="J789">
        <f t="shared" si="73"/>
        <v>0</v>
      </c>
      <c r="K789">
        <f t="shared" si="74"/>
        <v>0</v>
      </c>
      <c r="L789">
        <f t="shared" si="76"/>
        <v>0</v>
      </c>
      <c r="M789">
        <f t="shared" si="77"/>
        <v>0</v>
      </c>
    </row>
    <row r="790" spans="8:13" x14ac:dyDescent="0.25">
      <c r="H790">
        <f t="shared" si="75"/>
        <v>0</v>
      </c>
      <c r="I790">
        <f t="shared" si="72"/>
        <v>0</v>
      </c>
      <c r="J790">
        <f t="shared" si="73"/>
        <v>0</v>
      </c>
      <c r="K790">
        <f t="shared" si="74"/>
        <v>0</v>
      </c>
      <c r="L790">
        <f t="shared" si="76"/>
        <v>0</v>
      </c>
      <c r="M790">
        <f t="shared" si="77"/>
        <v>0</v>
      </c>
    </row>
    <row r="791" spans="8:13" x14ac:dyDescent="0.25">
      <c r="H791">
        <f t="shared" si="75"/>
        <v>0</v>
      </c>
      <c r="I791">
        <f t="shared" si="72"/>
        <v>0</v>
      </c>
      <c r="J791">
        <f t="shared" si="73"/>
        <v>0</v>
      </c>
      <c r="K791">
        <f t="shared" si="74"/>
        <v>0</v>
      </c>
      <c r="L791">
        <f t="shared" si="76"/>
        <v>0</v>
      </c>
      <c r="M791">
        <f t="shared" si="77"/>
        <v>0</v>
      </c>
    </row>
    <row r="792" spans="8:13" x14ac:dyDescent="0.25">
      <c r="H792">
        <f t="shared" si="75"/>
        <v>0</v>
      </c>
      <c r="I792">
        <f t="shared" si="72"/>
        <v>0</v>
      </c>
      <c r="J792">
        <f t="shared" si="73"/>
        <v>0</v>
      </c>
      <c r="K792">
        <f t="shared" si="74"/>
        <v>0</v>
      </c>
      <c r="L792">
        <f t="shared" si="76"/>
        <v>0</v>
      </c>
      <c r="M792">
        <f t="shared" si="77"/>
        <v>0</v>
      </c>
    </row>
    <row r="793" spans="8:13" x14ac:dyDescent="0.25">
      <c r="H793">
        <f t="shared" si="75"/>
        <v>0</v>
      </c>
      <c r="I793">
        <f t="shared" si="72"/>
        <v>0</v>
      </c>
      <c r="J793">
        <f t="shared" si="73"/>
        <v>0</v>
      </c>
      <c r="K793">
        <f t="shared" si="74"/>
        <v>0</v>
      </c>
      <c r="L793">
        <f t="shared" si="76"/>
        <v>0</v>
      </c>
      <c r="M793">
        <f t="shared" si="77"/>
        <v>0</v>
      </c>
    </row>
    <row r="794" spans="8:13" x14ac:dyDescent="0.25">
      <c r="H794">
        <f t="shared" si="75"/>
        <v>0</v>
      </c>
      <c r="I794">
        <f t="shared" si="72"/>
        <v>0</v>
      </c>
      <c r="J794">
        <f t="shared" si="73"/>
        <v>0</v>
      </c>
      <c r="K794">
        <f t="shared" si="74"/>
        <v>0</v>
      </c>
      <c r="L794">
        <f t="shared" si="76"/>
        <v>0</v>
      </c>
      <c r="M794">
        <f t="shared" si="77"/>
        <v>0</v>
      </c>
    </row>
    <row r="795" spans="8:13" x14ac:dyDescent="0.25">
      <c r="H795">
        <f t="shared" si="75"/>
        <v>0</v>
      </c>
      <c r="I795">
        <f t="shared" si="72"/>
        <v>0</v>
      </c>
      <c r="J795">
        <f t="shared" si="73"/>
        <v>0</v>
      </c>
      <c r="K795">
        <f t="shared" si="74"/>
        <v>0</v>
      </c>
      <c r="L795">
        <f t="shared" si="76"/>
        <v>0</v>
      </c>
      <c r="M795">
        <f t="shared" si="77"/>
        <v>0</v>
      </c>
    </row>
    <row r="796" spans="8:13" x14ac:dyDescent="0.25">
      <c r="H796">
        <f t="shared" si="75"/>
        <v>0</v>
      </c>
      <c r="I796">
        <f t="shared" si="72"/>
        <v>0</v>
      </c>
      <c r="J796">
        <f t="shared" si="73"/>
        <v>0</v>
      </c>
      <c r="K796">
        <f t="shared" si="74"/>
        <v>0</v>
      </c>
      <c r="L796">
        <f t="shared" si="76"/>
        <v>0</v>
      </c>
      <c r="M796">
        <f t="shared" si="77"/>
        <v>0</v>
      </c>
    </row>
    <row r="797" spans="8:13" x14ac:dyDescent="0.25">
      <c r="H797">
        <f t="shared" si="75"/>
        <v>0</v>
      </c>
      <c r="I797">
        <f t="shared" si="72"/>
        <v>0</v>
      </c>
      <c r="J797">
        <f t="shared" si="73"/>
        <v>0</v>
      </c>
      <c r="K797">
        <f t="shared" si="74"/>
        <v>0</v>
      </c>
      <c r="L797">
        <f t="shared" si="76"/>
        <v>0</v>
      </c>
      <c r="M797">
        <f t="shared" si="77"/>
        <v>0</v>
      </c>
    </row>
    <row r="798" spans="8:13" x14ac:dyDescent="0.25">
      <c r="H798">
        <f t="shared" si="75"/>
        <v>0</v>
      </c>
      <c r="I798">
        <f t="shared" si="72"/>
        <v>0</v>
      </c>
      <c r="J798">
        <f t="shared" si="73"/>
        <v>0</v>
      </c>
      <c r="K798">
        <f t="shared" si="74"/>
        <v>0</v>
      </c>
      <c r="L798">
        <f t="shared" si="76"/>
        <v>0</v>
      </c>
      <c r="M798">
        <f t="shared" si="77"/>
        <v>0</v>
      </c>
    </row>
    <row r="799" spans="8:13" x14ac:dyDescent="0.25">
      <c r="H799">
        <f t="shared" si="75"/>
        <v>0</v>
      </c>
      <c r="I799">
        <f t="shared" si="72"/>
        <v>0</v>
      </c>
      <c r="J799">
        <f t="shared" si="73"/>
        <v>0</v>
      </c>
      <c r="K799">
        <f t="shared" si="74"/>
        <v>0</v>
      </c>
      <c r="L799">
        <f t="shared" si="76"/>
        <v>0</v>
      </c>
      <c r="M799">
        <f t="shared" si="77"/>
        <v>0</v>
      </c>
    </row>
    <row r="800" spans="8:13" x14ac:dyDescent="0.25">
      <c r="H800">
        <f t="shared" si="75"/>
        <v>0</v>
      </c>
      <c r="I800">
        <f t="shared" si="72"/>
        <v>0</v>
      </c>
      <c r="J800">
        <f t="shared" si="73"/>
        <v>0</v>
      </c>
      <c r="K800">
        <f t="shared" si="74"/>
        <v>0</v>
      </c>
      <c r="L800">
        <f t="shared" si="76"/>
        <v>0</v>
      </c>
      <c r="M800">
        <f t="shared" si="77"/>
        <v>0</v>
      </c>
    </row>
    <row r="801" spans="8:13" x14ac:dyDescent="0.25">
      <c r="H801">
        <f t="shared" si="75"/>
        <v>0</v>
      </c>
      <c r="I801">
        <f t="shared" si="72"/>
        <v>0</v>
      </c>
      <c r="J801">
        <f t="shared" si="73"/>
        <v>0</v>
      </c>
      <c r="K801">
        <f t="shared" si="74"/>
        <v>0</v>
      </c>
      <c r="L801">
        <f t="shared" si="76"/>
        <v>0</v>
      </c>
      <c r="M801">
        <f t="shared" si="77"/>
        <v>0</v>
      </c>
    </row>
    <row r="802" spans="8:13" x14ac:dyDescent="0.25">
      <c r="H802">
        <f t="shared" si="75"/>
        <v>0</v>
      </c>
      <c r="I802">
        <f t="shared" si="72"/>
        <v>0</v>
      </c>
      <c r="J802">
        <f t="shared" si="73"/>
        <v>0</v>
      </c>
      <c r="K802">
        <f t="shared" si="74"/>
        <v>0</v>
      </c>
      <c r="L802">
        <f t="shared" si="76"/>
        <v>0</v>
      </c>
      <c r="M802">
        <f t="shared" si="77"/>
        <v>0</v>
      </c>
    </row>
    <row r="803" spans="8:13" x14ac:dyDescent="0.25">
      <c r="H803">
        <f t="shared" si="75"/>
        <v>0</v>
      </c>
      <c r="I803">
        <f t="shared" si="72"/>
        <v>0</v>
      </c>
      <c r="J803">
        <f t="shared" si="73"/>
        <v>0</v>
      </c>
      <c r="K803">
        <f t="shared" si="74"/>
        <v>0</v>
      </c>
      <c r="L803">
        <f t="shared" si="76"/>
        <v>0</v>
      </c>
      <c r="M803">
        <f t="shared" si="77"/>
        <v>0</v>
      </c>
    </row>
    <row r="804" spans="8:13" x14ac:dyDescent="0.25">
      <c r="H804">
        <f t="shared" si="75"/>
        <v>0</v>
      </c>
      <c r="I804">
        <f t="shared" si="72"/>
        <v>0</v>
      </c>
      <c r="J804">
        <f t="shared" si="73"/>
        <v>0</v>
      </c>
      <c r="K804">
        <f t="shared" si="74"/>
        <v>0</v>
      </c>
      <c r="L804">
        <f t="shared" si="76"/>
        <v>0</v>
      </c>
      <c r="M804">
        <f t="shared" si="77"/>
        <v>0</v>
      </c>
    </row>
    <row r="805" spans="8:13" x14ac:dyDescent="0.25">
      <c r="H805">
        <f t="shared" si="75"/>
        <v>0</v>
      </c>
      <c r="I805">
        <f t="shared" si="72"/>
        <v>0</v>
      </c>
      <c r="J805">
        <f t="shared" si="73"/>
        <v>0</v>
      </c>
      <c r="K805">
        <f t="shared" si="74"/>
        <v>0</v>
      </c>
      <c r="L805">
        <f t="shared" si="76"/>
        <v>0</v>
      </c>
      <c r="M805">
        <f t="shared" si="77"/>
        <v>0</v>
      </c>
    </row>
    <row r="806" spans="8:13" x14ac:dyDescent="0.25">
      <c r="H806">
        <f t="shared" si="75"/>
        <v>0</v>
      </c>
      <c r="I806">
        <f t="shared" si="72"/>
        <v>0</v>
      </c>
      <c r="J806">
        <f t="shared" si="73"/>
        <v>0</v>
      </c>
      <c r="K806">
        <f t="shared" si="74"/>
        <v>0</v>
      </c>
      <c r="L806">
        <f t="shared" si="76"/>
        <v>0</v>
      </c>
      <c r="M806">
        <f t="shared" si="77"/>
        <v>0</v>
      </c>
    </row>
    <row r="807" spans="8:13" x14ac:dyDescent="0.25">
      <c r="H807">
        <f t="shared" si="75"/>
        <v>0</v>
      </c>
      <c r="I807">
        <f t="shared" si="72"/>
        <v>0</v>
      </c>
      <c r="J807">
        <f t="shared" si="73"/>
        <v>0</v>
      </c>
      <c r="K807">
        <f t="shared" si="74"/>
        <v>0</v>
      </c>
      <c r="L807">
        <f t="shared" si="76"/>
        <v>0</v>
      </c>
      <c r="M807">
        <f t="shared" si="77"/>
        <v>0</v>
      </c>
    </row>
    <row r="808" spans="8:13" x14ac:dyDescent="0.25">
      <c r="H808">
        <f t="shared" si="75"/>
        <v>0</v>
      </c>
      <c r="I808">
        <f t="shared" si="72"/>
        <v>0</v>
      </c>
      <c r="J808">
        <f t="shared" si="73"/>
        <v>0</v>
      </c>
      <c r="K808">
        <f t="shared" si="74"/>
        <v>0</v>
      </c>
      <c r="L808">
        <f t="shared" si="76"/>
        <v>0</v>
      </c>
      <c r="M808">
        <f t="shared" si="77"/>
        <v>0</v>
      </c>
    </row>
    <row r="809" spans="8:13" x14ac:dyDescent="0.25">
      <c r="H809">
        <f t="shared" si="75"/>
        <v>0</v>
      </c>
      <c r="I809">
        <f t="shared" si="72"/>
        <v>0</v>
      </c>
      <c r="J809">
        <f t="shared" si="73"/>
        <v>0</v>
      </c>
      <c r="K809">
        <f t="shared" si="74"/>
        <v>0</v>
      </c>
      <c r="L809">
        <f t="shared" si="76"/>
        <v>0</v>
      </c>
      <c r="M809">
        <f t="shared" si="77"/>
        <v>0</v>
      </c>
    </row>
    <row r="810" spans="8:13" x14ac:dyDescent="0.25">
      <c r="H810">
        <f t="shared" si="75"/>
        <v>0</v>
      </c>
      <c r="I810">
        <f t="shared" si="72"/>
        <v>0</v>
      </c>
      <c r="J810">
        <f t="shared" si="73"/>
        <v>0</v>
      </c>
      <c r="K810">
        <f t="shared" si="74"/>
        <v>0</v>
      </c>
      <c r="L810">
        <f t="shared" si="76"/>
        <v>0</v>
      </c>
      <c r="M810">
        <f t="shared" si="77"/>
        <v>0</v>
      </c>
    </row>
    <row r="811" spans="8:13" x14ac:dyDescent="0.25">
      <c r="H811">
        <f t="shared" si="75"/>
        <v>0</v>
      </c>
      <c r="I811">
        <f t="shared" si="72"/>
        <v>0</v>
      </c>
      <c r="J811">
        <f t="shared" si="73"/>
        <v>0</v>
      </c>
      <c r="K811">
        <f t="shared" si="74"/>
        <v>0</v>
      </c>
      <c r="L811">
        <f t="shared" si="76"/>
        <v>0</v>
      </c>
      <c r="M811">
        <f t="shared" si="77"/>
        <v>0</v>
      </c>
    </row>
    <row r="812" spans="8:13" x14ac:dyDescent="0.25">
      <c r="H812">
        <f t="shared" si="75"/>
        <v>0</v>
      </c>
      <c r="I812">
        <f t="shared" si="72"/>
        <v>0</v>
      </c>
      <c r="J812">
        <f t="shared" si="73"/>
        <v>0</v>
      </c>
      <c r="K812">
        <f t="shared" si="74"/>
        <v>0</v>
      </c>
      <c r="L812">
        <f t="shared" si="76"/>
        <v>0</v>
      </c>
      <c r="M812">
        <f t="shared" si="77"/>
        <v>0</v>
      </c>
    </row>
    <row r="813" spans="8:13" x14ac:dyDescent="0.25">
      <c r="H813">
        <f t="shared" si="75"/>
        <v>0</v>
      </c>
      <c r="I813">
        <f t="shared" si="72"/>
        <v>0</v>
      </c>
      <c r="J813">
        <f t="shared" si="73"/>
        <v>0</v>
      </c>
      <c r="K813">
        <f t="shared" si="74"/>
        <v>0</v>
      </c>
      <c r="L813">
        <f t="shared" si="76"/>
        <v>0</v>
      </c>
      <c r="M813">
        <f t="shared" si="77"/>
        <v>0</v>
      </c>
    </row>
    <row r="814" spans="8:13" x14ac:dyDescent="0.25">
      <c r="H814">
        <f t="shared" si="75"/>
        <v>0</v>
      </c>
      <c r="I814">
        <f t="shared" si="72"/>
        <v>0</v>
      </c>
      <c r="J814">
        <f t="shared" si="73"/>
        <v>0</v>
      </c>
      <c r="K814">
        <f t="shared" si="74"/>
        <v>0</v>
      </c>
      <c r="L814">
        <f t="shared" si="76"/>
        <v>0</v>
      </c>
      <c r="M814">
        <f t="shared" si="77"/>
        <v>0</v>
      </c>
    </row>
    <row r="815" spans="8:13" x14ac:dyDescent="0.25">
      <c r="H815">
        <f t="shared" si="75"/>
        <v>0</v>
      </c>
      <c r="I815">
        <f t="shared" si="72"/>
        <v>0</v>
      </c>
      <c r="J815">
        <f t="shared" si="73"/>
        <v>0</v>
      </c>
      <c r="K815">
        <f t="shared" si="74"/>
        <v>0</v>
      </c>
      <c r="L815">
        <f t="shared" si="76"/>
        <v>0</v>
      </c>
      <c r="M815">
        <f t="shared" si="77"/>
        <v>0</v>
      </c>
    </row>
    <row r="816" spans="8:13" x14ac:dyDescent="0.25">
      <c r="H816">
        <f t="shared" si="75"/>
        <v>0</v>
      </c>
      <c r="I816">
        <f t="shared" si="72"/>
        <v>0</v>
      </c>
      <c r="J816">
        <f t="shared" si="73"/>
        <v>0</v>
      </c>
      <c r="K816">
        <f t="shared" si="74"/>
        <v>0</v>
      </c>
      <c r="L816">
        <f t="shared" si="76"/>
        <v>0</v>
      </c>
      <c r="M816">
        <f t="shared" si="77"/>
        <v>0</v>
      </c>
    </row>
    <row r="817" spans="8:13" x14ac:dyDescent="0.25">
      <c r="H817">
        <f t="shared" si="75"/>
        <v>0</v>
      </c>
      <c r="I817">
        <f t="shared" si="72"/>
        <v>0</v>
      </c>
      <c r="J817">
        <f t="shared" si="73"/>
        <v>0</v>
      </c>
      <c r="K817">
        <f t="shared" si="74"/>
        <v>0</v>
      </c>
      <c r="L817">
        <f t="shared" si="76"/>
        <v>0</v>
      </c>
      <c r="M817">
        <f t="shared" si="77"/>
        <v>0</v>
      </c>
    </row>
    <row r="818" spans="8:13" x14ac:dyDescent="0.25">
      <c r="H818">
        <f t="shared" si="75"/>
        <v>0</v>
      </c>
      <c r="I818">
        <f t="shared" si="72"/>
        <v>0</v>
      </c>
      <c r="J818">
        <f t="shared" si="73"/>
        <v>0</v>
      </c>
      <c r="K818">
        <f t="shared" si="74"/>
        <v>0</v>
      </c>
      <c r="L818">
        <f t="shared" si="76"/>
        <v>0</v>
      </c>
      <c r="M818">
        <f t="shared" si="77"/>
        <v>0</v>
      </c>
    </row>
    <row r="819" spans="8:13" x14ac:dyDescent="0.25">
      <c r="H819">
        <f t="shared" si="75"/>
        <v>0</v>
      </c>
      <c r="I819">
        <f t="shared" si="72"/>
        <v>0</v>
      </c>
      <c r="J819">
        <f t="shared" si="73"/>
        <v>0</v>
      </c>
      <c r="K819">
        <f t="shared" si="74"/>
        <v>0</v>
      </c>
      <c r="L819">
        <f t="shared" si="76"/>
        <v>0</v>
      </c>
      <c r="M819">
        <f t="shared" si="77"/>
        <v>0</v>
      </c>
    </row>
    <row r="820" spans="8:13" x14ac:dyDescent="0.25">
      <c r="H820">
        <f t="shared" si="75"/>
        <v>0</v>
      </c>
      <c r="I820">
        <f t="shared" si="72"/>
        <v>0</v>
      </c>
      <c r="J820">
        <f t="shared" si="73"/>
        <v>0</v>
      </c>
      <c r="K820">
        <f t="shared" si="74"/>
        <v>0</v>
      </c>
      <c r="L820">
        <f t="shared" si="76"/>
        <v>0</v>
      </c>
      <c r="M820">
        <f t="shared" si="77"/>
        <v>0</v>
      </c>
    </row>
    <row r="821" spans="8:13" x14ac:dyDescent="0.25">
      <c r="H821">
        <f t="shared" si="75"/>
        <v>0</v>
      </c>
      <c r="I821">
        <f t="shared" si="72"/>
        <v>0</v>
      </c>
      <c r="J821">
        <f t="shared" si="73"/>
        <v>0</v>
      </c>
      <c r="K821">
        <f t="shared" si="74"/>
        <v>0</v>
      </c>
      <c r="L821">
        <f t="shared" si="76"/>
        <v>0</v>
      </c>
      <c r="M821">
        <f t="shared" si="77"/>
        <v>0</v>
      </c>
    </row>
    <row r="822" spans="8:13" x14ac:dyDescent="0.25">
      <c r="H822">
        <f t="shared" si="75"/>
        <v>0</v>
      </c>
      <c r="I822">
        <f t="shared" si="72"/>
        <v>0</v>
      </c>
      <c r="J822">
        <f t="shared" si="73"/>
        <v>0</v>
      </c>
      <c r="K822">
        <f t="shared" si="74"/>
        <v>0</v>
      </c>
      <c r="L822">
        <f t="shared" si="76"/>
        <v>0</v>
      </c>
      <c r="M822">
        <f t="shared" si="77"/>
        <v>0</v>
      </c>
    </row>
    <row r="823" spans="8:13" x14ac:dyDescent="0.25">
      <c r="H823">
        <f t="shared" si="75"/>
        <v>0</v>
      </c>
      <c r="I823">
        <f t="shared" si="72"/>
        <v>0</v>
      </c>
      <c r="J823">
        <f t="shared" si="73"/>
        <v>0</v>
      </c>
      <c r="K823">
        <f t="shared" si="74"/>
        <v>0</v>
      </c>
      <c r="L823">
        <f t="shared" si="76"/>
        <v>0</v>
      </c>
      <c r="M823">
        <f t="shared" si="77"/>
        <v>0</v>
      </c>
    </row>
    <row r="824" spans="8:13" x14ac:dyDescent="0.25">
      <c r="H824">
        <f t="shared" si="75"/>
        <v>0</v>
      </c>
      <c r="I824">
        <f t="shared" si="72"/>
        <v>0</v>
      </c>
      <c r="J824">
        <f t="shared" si="73"/>
        <v>0</v>
      </c>
      <c r="K824">
        <f t="shared" si="74"/>
        <v>0</v>
      </c>
      <c r="L824">
        <f t="shared" si="76"/>
        <v>0</v>
      </c>
      <c r="M824">
        <f t="shared" si="77"/>
        <v>0</v>
      </c>
    </row>
    <row r="825" spans="8:13" x14ac:dyDescent="0.25">
      <c r="H825">
        <f t="shared" si="75"/>
        <v>0</v>
      </c>
      <c r="I825">
        <f t="shared" si="72"/>
        <v>0</v>
      </c>
      <c r="J825">
        <f t="shared" si="73"/>
        <v>0</v>
      </c>
      <c r="K825">
        <f t="shared" si="74"/>
        <v>0</v>
      </c>
      <c r="L825">
        <f t="shared" si="76"/>
        <v>0</v>
      </c>
      <c r="M825">
        <f t="shared" si="77"/>
        <v>0</v>
      </c>
    </row>
    <row r="826" spans="8:13" x14ac:dyDescent="0.25">
      <c r="H826">
        <f t="shared" si="75"/>
        <v>0</v>
      </c>
      <c r="I826">
        <f t="shared" si="72"/>
        <v>0</v>
      </c>
      <c r="J826">
        <f t="shared" si="73"/>
        <v>0</v>
      </c>
      <c r="K826">
        <f t="shared" si="74"/>
        <v>0</v>
      </c>
      <c r="L826">
        <f t="shared" si="76"/>
        <v>0</v>
      </c>
      <c r="M826">
        <f t="shared" si="77"/>
        <v>0</v>
      </c>
    </row>
    <row r="827" spans="8:13" x14ac:dyDescent="0.25">
      <c r="H827">
        <f t="shared" si="75"/>
        <v>0</v>
      </c>
      <c r="I827">
        <f t="shared" si="72"/>
        <v>0</v>
      </c>
      <c r="J827">
        <f t="shared" si="73"/>
        <v>0</v>
      </c>
      <c r="K827">
        <f t="shared" si="74"/>
        <v>0</v>
      </c>
      <c r="L827">
        <f t="shared" si="76"/>
        <v>0</v>
      </c>
      <c r="M827">
        <f t="shared" si="77"/>
        <v>0</v>
      </c>
    </row>
    <row r="828" spans="8:13" x14ac:dyDescent="0.25">
      <c r="H828">
        <f t="shared" si="75"/>
        <v>0</v>
      </c>
      <c r="I828">
        <f t="shared" si="72"/>
        <v>0</v>
      </c>
      <c r="J828">
        <f t="shared" si="73"/>
        <v>0</v>
      </c>
      <c r="K828">
        <f t="shared" si="74"/>
        <v>0</v>
      </c>
      <c r="L828">
        <f t="shared" si="76"/>
        <v>0</v>
      </c>
      <c r="M828">
        <f t="shared" si="77"/>
        <v>0</v>
      </c>
    </row>
    <row r="829" spans="8:13" x14ac:dyDescent="0.25">
      <c r="H829">
        <f t="shared" si="75"/>
        <v>0</v>
      </c>
      <c r="I829">
        <f t="shared" si="72"/>
        <v>0</v>
      </c>
      <c r="J829">
        <f t="shared" si="73"/>
        <v>0</v>
      </c>
      <c r="K829">
        <f t="shared" si="74"/>
        <v>0</v>
      </c>
      <c r="L829">
        <f t="shared" si="76"/>
        <v>0</v>
      </c>
      <c r="M829">
        <f t="shared" si="77"/>
        <v>0</v>
      </c>
    </row>
    <row r="830" spans="8:13" x14ac:dyDescent="0.25">
      <c r="H830">
        <f t="shared" si="75"/>
        <v>0</v>
      </c>
      <c r="I830">
        <f t="shared" si="72"/>
        <v>0</v>
      </c>
      <c r="J830">
        <f t="shared" si="73"/>
        <v>0</v>
      </c>
      <c r="K830">
        <f t="shared" si="74"/>
        <v>0</v>
      </c>
      <c r="L830">
        <f t="shared" si="76"/>
        <v>0</v>
      </c>
      <c r="M830">
        <f t="shared" si="77"/>
        <v>0</v>
      </c>
    </row>
    <row r="831" spans="8:13" x14ac:dyDescent="0.25">
      <c r="H831">
        <f t="shared" si="75"/>
        <v>0</v>
      </c>
      <c r="I831">
        <f t="shared" si="72"/>
        <v>0</v>
      </c>
      <c r="J831">
        <f t="shared" si="73"/>
        <v>0</v>
      </c>
      <c r="K831">
        <f t="shared" si="74"/>
        <v>0</v>
      </c>
      <c r="L831">
        <f t="shared" si="76"/>
        <v>0</v>
      </c>
      <c r="M831">
        <f t="shared" si="77"/>
        <v>0</v>
      </c>
    </row>
    <row r="832" spans="8:13" x14ac:dyDescent="0.25">
      <c r="H832">
        <f t="shared" si="75"/>
        <v>0</v>
      </c>
      <c r="I832">
        <f t="shared" si="72"/>
        <v>0</v>
      </c>
      <c r="J832">
        <f t="shared" si="73"/>
        <v>0</v>
      </c>
      <c r="K832">
        <f t="shared" si="74"/>
        <v>0</v>
      </c>
      <c r="L832">
        <f t="shared" si="76"/>
        <v>0</v>
      </c>
      <c r="M832">
        <f t="shared" si="77"/>
        <v>0</v>
      </c>
    </row>
    <row r="833" spans="8:13" x14ac:dyDescent="0.25">
      <c r="H833">
        <f t="shared" si="75"/>
        <v>0</v>
      </c>
      <c r="I833">
        <f t="shared" si="72"/>
        <v>0</v>
      </c>
      <c r="J833">
        <f t="shared" si="73"/>
        <v>0</v>
      </c>
      <c r="K833">
        <f t="shared" si="74"/>
        <v>0</v>
      </c>
      <c r="L833">
        <f t="shared" si="76"/>
        <v>0</v>
      </c>
      <c r="M833">
        <f t="shared" si="77"/>
        <v>0</v>
      </c>
    </row>
    <row r="834" spans="8:13" x14ac:dyDescent="0.25">
      <c r="H834">
        <f t="shared" si="75"/>
        <v>0</v>
      </c>
      <c r="I834">
        <f t="shared" ref="I834:I897" si="78">C834*$I$1</f>
        <v>0</v>
      </c>
      <c r="J834">
        <f t="shared" ref="J834:J897" si="79">D834*$J$1</f>
        <v>0</v>
      </c>
      <c r="K834">
        <f t="shared" ref="K834:K897" si="80">E834*$K$1</f>
        <v>0</v>
      </c>
      <c r="L834">
        <f t="shared" si="76"/>
        <v>0</v>
      </c>
      <c r="M834">
        <f t="shared" si="77"/>
        <v>0</v>
      </c>
    </row>
    <row r="835" spans="8:13" x14ac:dyDescent="0.25">
      <c r="H835">
        <f t="shared" ref="H835:H898" si="81">B835*$H$1</f>
        <v>0</v>
      </c>
      <c r="I835">
        <f t="shared" si="78"/>
        <v>0</v>
      </c>
      <c r="J835">
        <f t="shared" si="79"/>
        <v>0</v>
      </c>
      <c r="K835">
        <f t="shared" si="80"/>
        <v>0</v>
      </c>
      <c r="L835">
        <f t="shared" ref="L835:L898" si="82">F835*$L$1</f>
        <v>0</v>
      </c>
      <c r="M835">
        <f t="shared" ref="M835:M898" si="83">SUM(H835:L835)</f>
        <v>0</v>
      </c>
    </row>
    <row r="836" spans="8:13" x14ac:dyDescent="0.25">
      <c r="H836">
        <f t="shared" si="81"/>
        <v>0</v>
      </c>
      <c r="I836">
        <f t="shared" si="78"/>
        <v>0</v>
      </c>
      <c r="J836">
        <f t="shared" si="79"/>
        <v>0</v>
      </c>
      <c r="K836">
        <f t="shared" si="80"/>
        <v>0</v>
      </c>
      <c r="L836">
        <f t="shared" si="82"/>
        <v>0</v>
      </c>
      <c r="M836">
        <f t="shared" si="83"/>
        <v>0</v>
      </c>
    </row>
    <row r="837" spans="8:13" x14ac:dyDescent="0.25">
      <c r="H837">
        <f t="shared" si="81"/>
        <v>0</v>
      </c>
      <c r="I837">
        <f t="shared" si="78"/>
        <v>0</v>
      </c>
      <c r="J837">
        <f t="shared" si="79"/>
        <v>0</v>
      </c>
      <c r="K837">
        <f t="shared" si="80"/>
        <v>0</v>
      </c>
      <c r="L837">
        <f t="shared" si="82"/>
        <v>0</v>
      </c>
      <c r="M837">
        <f t="shared" si="83"/>
        <v>0</v>
      </c>
    </row>
    <row r="838" spans="8:13" x14ac:dyDescent="0.25">
      <c r="H838">
        <f t="shared" si="81"/>
        <v>0</v>
      </c>
      <c r="I838">
        <f t="shared" si="78"/>
        <v>0</v>
      </c>
      <c r="J838">
        <f t="shared" si="79"/>
        <v>0</v>
      </c>
      <c r="K838">
        <f t="shared" si="80"/>
        <v>0</v>
      </c>
      <c r="L838">
        <f t="shared" si="82"/>
        <v>0</v>
      </c>
      <c r="M838">
        <f t="shared" si="83"/>
        <v>0</v>
      </c>
    </row>
    <row r="839" spans="8:13" x14ac:dyDescent="0.25">
      <c r="H839">
        <f t="shared" si="81"/>
        <v>0</v>
      </c>
      <c r="I839">
        <f t="shared" si="78"/>
        <v>0</v>
      </c>
      <c r="J839">
        <f t="shared" si="79"/>
        <v>0</v>
      </c>
      <c r="K839">
        <f t="shared" si="80"/>
        <v>0</v>
      </c>
      <c r="L839">
        <f t="shared" si="82"/>
        <v>0</v>
      </c>
      <c r="M839">
        <f t="shared" si="83"/>
        <v>0</v>
      </c>
    </row>
    <row r="840" spans="8:13" x14ac:dyDescent="0.25">
      <c r="H840">
        <f t="shared" si="81"/>
        <v>0</v>
      </c>
      <c r="I840">
        <f t="shared" si="78"/>
        <v>0</v>
      </c>
      <c r="J840">
        <f t="shared" si="79"/>
        <v>0</v>
      </c>
      <c r="K840">
        <f t="shared" si="80"/>
        <v>0</v>
      </c>
      <c r="L840">
        <f t="shared" si="82"/>
        <v>0</v>
      </c>
      <c r="M840">
        <f t="shared" si="83"/>
        <v>0</v>
      </c>
    </row>
    <row r="841" spans="8:13" x14ac:dyDescent="0.25">
      <c r="H841">
        <f t="shared" si="81"/>
        <v>0</v>
      </c>
      <c r="I841">
        <f t="shared" si="78"/>
        <v>0</v>
      </c>
      <c r="J841">
        <f t="shared" si="79"/>
        <v>0</v>
      </c>
      <c r="K841">
        <f t="shared" si="80"/>
        <v>0</v>
      </c>
      <c r="L841">
        <f t="shared" si="82"/>
        <v>0</v>
      </c>
      <c r="M841">
        <f t="shared" si="83"/>
        <v>0</v>
      </c>
    </row>
    <row r="842" spans="8:13" x14ac:dyDescent="0.25">
      <c r="H842">
        <f t="shared" si="81"/>
        <v>0</v>
      </c>
      <c r="I842">
        <f t="shared" si="78"/>
        <v>0</v>
      </c>
      <c r="J842">
        <f t="shared" si="79"/>
        <v>0</v>
      </c>
      <c r="K842">
        <f t="shared" si="80"/>
        <v>0</v>
      </c>
      <c r="L842">
        <f t="shared" si="82"/>
        <v>0</v>
      </c>
      <c r="M842">
        <f t="shared" si="83"/>
        <v>0</v>
      </c>
    </row>
    <row r="843" spans="8:13" x14ac:dyDescent="0.25">
      <c r="H843">
        <f t="shared" si="81"/>
        <v>0</v>
      </c>
      <c r="I843">
        <f t="shared" si="78"/>
        <v>0</v>
      </c>
      <c r="J843">
        <f t="shared" si="79"/>
        <v>0</v>
      </c>
      <c r="K843">
        <f t="shared" si="80"/>
        <v>0</v>
      </c>
      <c r="L843">
        <f t="shared" si="82"/>
        <v>0</v>
      </c>
      <c r="M843">
        <f t="shared" si="83"/>
        <v>0</v>
      </c>
    </row>
    <row r="844" spans="8:13" x14ac:dyDescent="0.25">
      <c r="H844">
        <f t="shared" si="81"/>
        <v>0</v>
      </c>
      <c r="I844">
        <f t="shared" si="78"/>
        <v>0</v>
      </c>
      <c r="J844">
        <f t="shared" si="79"/>
        <v>0</v>
      </c>
      <c r="K844">
        <f t="shared" si="80"/>
        <v>0</v>
      </c>
      <c r="L844">
        <f t="shared" si="82"/>
        <v>0</v>
      </c>
      <c r="M844">
        <f t="shared" si="83"/>
        <v>0</v>
      </c>
    </row>
    <row r="845" spans="8:13" x14ac:dyDescent="0.25">
      <c r="H845">
        <f t="shared" si="81"/>
        <v>0</v>
      </c>
      <c r="I845">
        <f t="shared" si="78"/>
        <v>0</v>
      </c>
      <c r="J845">
        <f t="shared" si="79"/>
        <v>0</v>
      </c>
      <c r="K845">
        <f t="shared" si="80"/>
        <v>0</v>
      </c>
      <c r="L845">
        <f t="shared" si="82"/>
        <v>0</v>
      </c>
      <c r="M845">
        <f t="shared" si="83"/>
        <v>0</v>
      </c>
    </row>
    <row r="846" spans="8:13" x14ac:dyDescent="0.25">
      <c r="H846">
        <f t="shared" si="81"/>
        <v>0</v>
      </c>
      <c r="I846">
        <f t="shared" si="78"/>
        <v>0</v>
      </c>
      <c r="J846">
        <f t="shared" si="79"/>
        <v>0</v>
      </c>
      <c r="K846">
        <f t="shared" si="80"/>
        <v>0</v>
      </c>
      <c r="L846">
        <f t="shared" si="82"/>
        <v>0</v>
      </c>
      <c r="M846">
        <f t="shared" si="83"/>
        <v>0</v>
      </c>
    </row>
    <row r="847" spans="8:13" x14ac:dyDescent="0.25">
      <c r="H847">
        <f t="shared" si="81"/>
        <v>0</v>
      </c>
      <c r="I847">
        <f t="shared" si="78"/>
        <v>0</v>
      </c>
      <c r="J847">
        <f t="shared" si="79"/>
        <v>0</v>
      </c>
      <c r="K847">
        <f t="shared" si="80"/>
        <v>0</v>
      </c>
      <c r="L847">
        <f t="shared" si="82"/>
        <v>0</v>
      </c>
      <c r="M847">
        <f t="shared" si="83"/>
        <v>0</v>
      </c>
    </row>
    <row r="848" spans="8:13" x14ac:dyDescent="0.25">
      <c r="H848">
        <f t="shared" si="81"/>
        <v>0</v>
      </c>
      <c r="I848">
        <f t="shared" si="78"/>
        <v>0</v>
      </c>
      <c r="J848">
        <f t="shared" si="79"/>
        <v>0</v>
      </c>
      <c r="K848">
        <f t="shared" si="80"/>
        <v>0</v>
      </c>
      <c r="L848">
        <f t="shared" si="82"/>
        <v>0</v>
      </c>
      <c r="M848">
        <f t="shared" si="83"/>
        <v>0</v>
      </c>
    </row>
    <row r="849" spans="8:13" x14ac:dyDescent="0.25">
      <c r="H849">
        <f t="shared" si="81"/>
        <v>0</v>
      </c>
      <c r="I849">
        <f t="shared" si="78"/>
        <v>0</v>
      </c>
      <c r="J849">
        <f t="shared" si="79"/>
        <v>0</v>
      </c>
      <c r="K849">
        <f t="shared" si="80"/>
        <v>0</v>
      </c>
      <c r="L849">
        <f t="shared" si="82"/>
        <v>0</v>
      </c>
      <c r="M849">
        <f t="shared" si="83"/>
        <v>0</v>
      </c>
    </row>
    <row r="850" spans="8:13" x14ac:dyDescent="0.25">
      <c r="H850">
        <f t="shared" si="81"/>
        <v>0</v>
      </c>
      <c r="I850">
        <f t="shared" si="78"/>
        <v>0</v>
      </c>
      <c r="J850">
        <f t="shared" si="79"/>
        <v>0</v>
      </c>
      <c r="K850">
        <f t="shared" si="80"/>
        <v>0</v>
      </c>
      <c r="L850">
        <f t="shared" si="82"/>
        <v>0</v>
      </c>
      <c r="M850">
        <f t="shared" si="83"/>
        <v>0</v>
      </c>
    </row>
    <row r="851" spans="8:13" x14ac:dyDescent="0.25">
      <c r="H851">
        <f t="shared" si="81"/>
        <v>0</v>
      </c>
      <c r="I851">
        <f t="shared" si="78"/>
        <v>0</v>
      </c>
      <c r="J851">
        <f t="shared" si="79"/>
        <v>0</v>
      </c>
      <c r="K851">
        <f t="shared" si="80"/>
        <v>0</v>
      </c>
      <c r="L851">
        <f t="shared" si="82"/>
        <v>0</v>
      </c>
      <c r="M851">
        <f t="shared" si="83"/>
        <v>0</v>
      </c>
    </row>
    <row r="852" spans="8:13" x14ac:dyDescent="0.25">
      <c r="H852">
        <f t="shared" si="81"/>
        <v>0</v>
      </c>
      <c r="I852">
        <f t="shared" si="78"/>
        <v>0</v>
      </c>
      <c r="J852">
        <f t="shared" si="79"/>
        <v>0</v>
      </c>
      <c r="K852">
        <f t="shared" si="80"/>
        <v>0</v>
      </c>
      <c r="L852">
        <f t="shared" si="82"/>
        <v>0</v>
      </c>
      <c r="M852">
        <f t="shared" si="83"/>
        <v>0</v>
      </c>
    </row>
    <row r="853" spans="8:13" x14ac:dyDescent="0.25">
      <c r="H853">
        <f t="shared" si="81"/>
        <v>0</v>
      </c>
      <c r="I853">
        <f t="shared" si="78"/>
        <v>0</v>
      </c>
      <c r="J853">
        <f t="shared" si="79"/>
        <v>0</v>
      </c>
      <c r="K853">
        <f t="shared" si="80"/>
        <v>0</v>
      </c>
      <c r="L853">
        <f t="shared" si="82"/>
        <v>0</v>
      </c>
      <c r="M853">
        <f t="shared" si="83"/>
        <v>0</v>
      </c>
    </row>
    <row r="854" spans="8:13" x14ac:dyDescent="0.25">
      <c r="H854">
        <f t="shared" si="81"/>
        <v>0</v>
      </c>
      <c r="I854">
        <f t="shared" si="78"/>
        <v>0</v>
      </c>
      <c r="J854">
        <f t="shared" si="79"/>
        <v>0</v>
      </c>
      <c r="K854">
        <f t="shared" si="80"/>
        <v>0</v>
      </c>
      <c r="L854">
        <f t="shared" si="82"/>
        <v>0</v>
      </c>
      <c r="M854">
        <f t="shared" si="83"/>
        <v>0</v>
      </c>
    </row>
    <row r="855" spans="8:13" x14ac:dyDescent="0.25">
      <c r="H855">
        <f t="shared" si="81"/>
        <v>0</v>
      </c>
      <c r="I855">
        <f t="shared" si="78"/>
        <v>0</v>
      </c>
      <c r="J855">
        <f t="shared" si="79"/>
        <v>0</v>
      </c>
      <c r="K855">
        <f t="shared" si="80"/>
        <v>0</v>
      </c>
      <c r="L855">
        <f t="shared" si="82"/>
        <v>0</v>
      </c>
      <c r="M855">
        <f t="shared" si="83"/>
        <v>0</v>
      </c>
    </row>
    <row r="856" spans="8:13" x14ac:dyDescent="0.25">
      <c r="H856">
        <f t="shared" si="81"/>
        <v>0</v>
      </c>
      <c r="I856">
        <f t="shared" si="78"/>
        <v>0</v>
      </c>
      <c r="J856">
        <f t="shared" si="79"/>
        <v>0</v>
      </c>
      <c r="K856">
        <f t="shared" si="80"/>
        <v>0</v>
      </c>
      <c r="L856">
        <f t="shared" si="82"/>
        <v>0</v>
      </c>
      <c r="M856">
        <f t="shared" si="83"/>
        <v>0</v>
      </c>
    </row>
    <row r="857" spans="8:13" x14ac:dyDescent="0.25">
      <c r="H857">
        <f t="shared" si="81"/>
        <v>0</v>
      </c>
      <c r="I857">
        <f t="shared" si="78"/>
        <v>0</v>
      </c>
      <c r="J857">
        <f t="shared" si="79"/>
        <v>0</v>
      </c>
      <c r="K857">
        <f t="shared" si="80"/>
        <v>0</v>
      </c>
      <c r="L857">
        <f t="shared" si="82"/>
        <v>0</v>
      </c>
      <c r="M857">
        <f t="shared" si="83"/>
        <v>0</v>
      </c>
    </row>
    <row r="858" spans="8:13" x14ac:dyDescent="0.25">
      <c r="H858">
        <f t="shared" si="81"/>
        <v>0</v>
      </c>
      <c r="I858">
        <f t="shared" si="78"/>
        <v>0</v>
      </c>
      <c r="J858">
        <f t="shared" si="79"/>
        <v>0</v>
      </c>
      <c r="K858">
        <f t="shared" si="80"/>
        <v>0</v>
      </c>
      <c r="L858">
        <f t="shared" si="82"/>
        <v>0</v>
      </c>
      <c r="M858">
        <f t="shared" si="83"/>
        <v>0</v>
      </c>
    </row>
    <row r="859" spans="8:13" x14ac:dyDescent="0.25">
      <c r="H859">
        <f t="shared" si="81"/>
        <v>0</v>
      </c>
      <c r="I859">
        <f t="shared" si="78"/>
        <v>0</v>
      </c>
      <c r="J859">
        <f t="shared" si="79"/>
        <v>0</v>
      </c>
      <c r="K859">
        <f t="shared" si="80"/>
        <v>0</v>
      </c>
      <c r="L859">
        <f t="shared" si="82"/>
        <v>0</v>
      </c>
      <c r="M859">
        <f t="shared" si="83"/>
        <v>0</v>
      </c>
    </row>
    <row r="860" spans="8:13" x14ac:dyDescent="0.25">
      <c r="H860">
        <f t="shared" si="81"/>
        <v>0</v>
      </c>
      <c r="I860">
        <f t="shared" si="78"/>
        <v>0</v>
      </c>
      <c r="J860">
        <f t="shared" si="79"/>
        <v>0</v>
      </c>
      <c r="K860">
        <f t="shared" si="80"/>
        <v>0</v>
      </c>
      <c r="L860">
        <f t="shared" si="82"/>
        <v>0</v>
      </c>
      <c r="M860">
        <f t="shared" si="83"/>
        <v>0</v>
      </c>
    </row>
    <row r="861" spans="8:13" x14ac:dyDescent="0.25">
      <c r="H861">
        <f t="shared" si="81"/>
        <v>0</v>
      </c>
      <c r="I861">
        <f t="shared" si="78"/>
        <v>0</v>
      </c>
      <c r="J861">
        <f t="shared" si="79"/>
        <v>0</v>
      </c>
      <c r="K861">
        <f t="shared" si="80"/>
        <v>0</v>
      </c>
      <c r="L861">
        <f t="shared" si="82"/>
        <v>0</v>
      </c>
      <c r="M861">
        <f t="shared" si="83"/>
        <v>0</v>
      </c>
    </row>
    <row r="862" spans="8:13" x14ac:dyDescent="0.25">
      <c r="H862">
        <f t="shared" si="81"/>
        <v>0</v>
      </c>
      <c r="I862">
        <f t="shared" si="78"/>
        <v>0</v>
      </c>
      <c r="J862">
        <f t="shared" si="79"/>
        <v>0</v>
      </c>
      <c r="K862">
        <f t="shared" si="80"/>
        <v>0</v>
      </c>
      <c r="L862">
        <f t="shared" si="82"/>
        <v>0</v>
      </c>
      <c r="M862">
        <f t="shared" si="83"/>
        <v>0</v>
      </c>
    </row>
    <row r="863" spans="8:13" x14ac:dyDescent="0.25">
      <c r="H863">
        <f t="shared" si="81"/>
        <v>0</v>
      </c>
      <c r="I863">
        <f t="shared" si="78"/>
        <v>0</v>
      </c>
      <c r="J863">
        <f t="shared" si="79"/>
        <v>0</v>
      </c>
      <c r="K863">
        <f t="shared" si="80"/>
        <v>0</v>
      </c>
      <c r="L863">
        <f t="shared" si="82"/>
        <v>0</v>
      </c>
      <c r="M863">
        <f t="shared" si="83"/>
        <v>0</v>
      </c>
    </row>
    <row r="864" spans="8:13" x14ac:dyDescent="0.25">
      <c r="H864">
        <f t="shared" si="81"/>
        <v>0</v>
      </c>
      <c r="I864">
        <f t="shared" si="78"/>
        <v>0</v>
      </c>
      <c r="J864">
        <f t="shared" si="79"/>
        <v>0</v>
      </c>
      <c r="K864">
        <f t="shared" si="80"/>
        <v>0</v>
      </c>
      <c r="L864">
        <f t="shared" si="82"/>
        <v>0</v>
      </c>
      <c r="M864">
        <f t="shared" si="83"/>
        <v>0</v>
      </c>
    </row>
    <row r="865" spans="8:13" x14ac:dyDescent="0.25">
      <c r="H865">
        <f t="shared" si="81"/>
        <v>0</v>
      </c>
      <c r="I865">
        <f t="shared" si="78"/>
        <v>0</v>
      </c>
      <c r="J865">
        <f t="shared" si="79"/>
        <v>0</v>
      </c>
      <c r="K865">
        <f t="shared" si="80"/>
        <v>0</v>
      </c>
      <c r="L865">
        <f t="shared" si="82"/>
        <v>0</v>
      </c>
      <c r="M865">
        <f t="shared" si="83"/>
        <v>0</v>
      </c>
    </row>
    <row r="866" spans="8:13" x14ac:dyDescent="0.25">
      <c r="H866">
        <f t="shared" si="81"/>
        <v>0</v>
      </c>
      <c r="I866">
        <f t="shared" si="78"/>
        <v>0</v>
      </c>
      <c r="J866">
        <f t="shared" si="79"/>
        <v>0</v>
      </c>
      <c r="K866">
        <f t="shared" si="80"/>
        <v>0</v>
      </c>
      <c r="L866">
        <f t="shared" si="82"/>
        <v>0</v>
      </c>
      <c r="M866">
        <f t="shared" si="83"/>
        <v>0</v>
      </c>
    </row>
    <row r="867" spans="8:13" x14ac:dyDescent="0.25">
      <c r="H867">
        <f t="shared" si="81"/>
        <v>0</v>
      </c>
      <c r="I867">
        <f t="shared" si="78"/>
        <v>0</v>
      </c>
      <c r="J867">
        <f t="shared" si="79"/>
        <v>0</v>
      </c>
      <c r="K867">
        <f t="shared" si="80"/>
        <v>0</v>
      </c>
      <c r="L867">
        <f t="shared" si="82"/>
        <v>0</v>
      </c>
      <c r="M867">
        <f t="shared" si="83"/>
        <v>0</v>
      </c>
    </row>
    <row r="868" spans="8:13" x14ac:dyDescent="0.25">
      <c r="H868">
        <f t="shared" si="81"/>
        <v>0</v>
      </c>
      <c r="I868">
        <f t="shared" si="78"/>
        <v>0</v>
      </c>
      <c r="J868">
        <f t="shared" si="79"/>
        <v>0</v>
      </c>
      <c r="K868">
        <f t="shared" si="80"/>
        <v>0</v>
      </c>
      <c r="L868">
        <f t="shared" si="82"/>
        <v>0</v>
      </c>
      <c r="M868">
        <f t="shared" si="83"/>
        <v>0</v>
      </c>
    </row>
    <row r="869" spans="8:13" x14ac:dyDescent="0.25">
      <c r="H869">
        <f t="shared" si="81"/>
        <v>0</v>
      </c>
      <c r="I869">
        <f t="shared" si="78"/>
        <v>0</v>
      </c>
      <c r="J869">
        <f t="shared" si="79"/>
        <v>0</v>
      </c>
      <c r="K869">
        <f t="shared" si="80"/>
        <v>0</v>
      </c>
      <c r="L869">
        <f t="shared" si="82"/>
        <v>0</v>
      </c>
      <c r="M869">
        <f t="shared" si="83"/>
        <v>0</v>
      </c>
    </row>
    <row r="870" spans="8:13" x14ac:dyDescent="0.25">
      <c r="H870">
        <f t="shared" si="81"/>
        <v>0</v>
      </c>
      <c r="I870">
        <f t="shared" si="78"/>
        <v>0</v>
      </c>
      <c r="J870">
        <f t="shared" si="79"/>
        <v>0</v>
      </c>
      <c r="K870">
        <f t="shared" si="80"/>
        <v>0</v>
      </c>
      <c r="L870">
        <f t="shared" si="82"/>
        <v>0</v>
      </c>
      <c r="M870">
        <f t="shared" si="83"/>
        <v>0</v>
      </c>
    </row>
    <row r="871" spans="8:13" x14ac:dyDescent="0.25">
      <c r="H871">
        <f t="shared" si="81"/>
        <v>0</v>
      </c>
      <c r="I871">
        <f t="shared" si="78"/>
        <v>0</v>
      </c>
      <c r="J871">
        <f t="shared" si="79"/>
        <v>0</v>
      </c>
      <c r="K871">
        <f t="shared" si="80"/>
        <v>0</v>
      </c>
      <c r="L871">
        <f t="shared" si="82"/>
        <v>0</v>
      </c>
      <c r="M871">
        <f t="shared" si="83"/>
        <v>0</v>
      </c>
    </row>
    <row r="872" spans="8:13" x14ac:dyDescent="0.25">
      <c r="H872">
        <f t="shared" si="81"/>
        <v>0</v>
      </c>
      <c r="I872">
        <f t="shared" si="78"/>
        <v>0</v>
      </c>
      <c r="J872">
        <f t="shared" si="79"/>
        <v>0</v>
      </c>
      <c r="K872">
        <f t="shared" si="80"/>
        <v>0</v>
      </c>
      <c r="L872">
        <f t="shared" si="82"/>
        <v>0</v>
      </c>
      <c r="M872">
        <f t="shared" si="83"/>
        <v>0</v>
      </c>
    </row>
    <row r="873" spans="8:13" x14ac:dyDescent="0.25">
      <c r="H873">
        <f t="shared" si="81"/>
        <v>0</v>
      </c>
      <c r="I873">
        <f t="shared" si="78"/>
        <v>0</v>
      </c>
      <c r="J873">
        <f t="shared" si="79"/>
        <v>0</v>
      </c>
      <c r="K873">
        <f t="shared" si="80"/>
        <v>0</v>
      </c>
      <c r="L873">
        <f t="shared" si="82"/>
        <v>0</v>
      </c>
      <c r="M873">
        <f t="shared" si="83"/>
        <v>0</v>
      </c>
    </row>
    <row r="874" spans="8:13" x14ac:dyDescent="0.25">
      <c r="H874">
        <f t="shared" si="81"/>
        <v>0</v>
      </c>
      <c r="I874">
        <f t="shared" si="78"/>
        <v>0</v>
      </c>
      <c r="J874">
        <f t="shared" si="79"/>
        <v>0</v>
      </c>
      <c r="K874">
        <f t="shared" si="80"/>
        <v>0</v>
      </c>
      <c r="L874">
        <f t="shared" si="82"/>
        <v>0</v>
      </c>
      <c r="M874">
        <f t="shared" si="83"/>
        <v>0</v>
      </c>
    </row>
    <row r="875" spans="8:13" x14ac:dyDescent="0.25">
      <c r="H875">
        <f t="shared" si="81"/>
        <v>0</v>
      </c>
      <c r="I875">
        <f t="shared" si="78"/>
        <v>0</v>
      </c>
      <c r="J875">
        <f t="shared" si="79"/>
        <v>0</v>
      </c>
      <c r="K875">
        <f t="shared" si="80"/>
        <v>0</v>
      </c>
      <c r="L875">
        <f t="shared" si="82"/>
        <v>0</v>
      </c>
      <c r="M875">
        <f t="shared" si="83"/>
        <v>0</v>
      </c>
    </row>
    <row r="876" spans="8:13" x14ac:dyDescent="0.25">
      <c r="H876">
        <f t="shared" si="81"/>
        <v>0</v>
      </c>
      <c r="I876">
        <f t="shared" si="78"/>
        <v>0</v>
      </c>
      <c r="J876">
        <f t="shared" si="79"/>
        <v>0</v>
      </c>
      <c r="K876">
        <f t="shared" si="80"/>
        <v>0</v>
      </c>
      <c r="L876">
        <f t="shared" si="82"/>
        <v>0</v>
      </c>
      <c r="M876">
        <f t="shared" si="83"/>
        <v>0</v>
      </c>
    </row>
    <row r="877" spans="8:13" x14ac:dyDescent="0.25">
      <c r="H877">
        <f t="shared" si="81"/>
        <v>0</v>
      </c>
      <c r="I877">
        <f t="shared" si="78"/>
        <v>0</v>
      </c>
      <c r="J877">
        <f t="shared" si="79"/>
        <v>0</v>
      </c>
      <c r="K877">
        <f t="shared" si="80"/>
        <v>0</v>
      </c>
      <c r="L877">
        <f t="shared" si="82"/>
        <v>0</v>
      </c>
      <c r="M877">
        <f t="shared" si="83"/>
        <v>0</v>
      </c>
    </row>
    <row r="878" spans="8:13" x14ac:dyDescent="0.25">
      <c r="H878">
        <f t="shared" si="81"/>
        <v>0</v>
      </c>
      <c r="I878">
        <f t="shared" si="78"/>
        <v>0</v>
      </c>
      <c r="J878">
        <f t="shared" si="79"/>
        <v>0</v>
      </c>
      <c r="K878">
        <f t="shared" si="80"/>
        <v>0</v>
      </c>
      <c r="L878">
        <f t="shared" si="82"/>
        <v>0</v>
      </c>
      <c r="M878">
        <f t="shared" si="83"/>
        <v>0</v>
      </c>
    </row>
    <row r="879" spans="8:13" x14ac:dyDescent="0.25">
      <c r="H879">
        <f t="shared" si="81"/>
        <v>0</v>
      </c>
      <c r="I879">
        <f t="shared" si="78"/>
        <v>0</v>
      </c>
      <c r="J879">
        <f t="shared" si="79"/>
        <v>0</v>
      </c>
      <c r="K879">
        <f t="shared" si="80"/>
        <v>0</v>
      </c>
      <c r="L879">
        <f t="shared" si="82"/>
        <v>0</v>
      </c>
      <c r="M879">
        <f t="shared" si="83"/>
        <v>0</v>
      </c>
    </row>
    <row r="880" spans="8:13" x14ac:dyDescent="0.25">
      <c r="H880">
        <f t="shared" si="81"/>
        <v>0</v>
      </c>
      <c r="I880">
        <f t="shared" si="78"/>
        <v>0</v>
      </c>
      <c r="J880">
        <f t="shared" si="79"/>
        <v>0</v>
      </c>
      <c r="K880">
        <f t="shared" si="80"/>
        <v>0</v>
      </c>
      <c r="L880">
        <f t="shared" si="82"/>
        <v>0</v>
      </c>
      <c r="M880">
        <f t="shared" si="83"/>
        <v>0</v>
      </c>
    </row>
    <row r="881" spans="8:13" x14ac:dyDescent="0.25">
      <c r="H881">
        <f t="shared" si="81"/>
        <v>0</v>
      </c>
      <c r="I881">
        <f t="shared" si="78"/>
        <v>0</v>
      </c>
      <c r="J881">
        <f t="shared" si="79"/>
        <v>0</v>
      </c>
      <c r="K881">
        <f t="shared" si="80"/>
        <v>0</v>
      </c>
      <c r="L881">
        <f t="shared" si="82"/>
        <v>0</v>
      </c>
      <c r="M881">
        <f t="shared" si="83"/>
        <v>0</v>
      </c>
    </row>
    <row r="882" spans="8:13" x14ac:dyDescent="0.25">
      <c r="H882">
        <f t="shared" si="81"/>
        <v>0</v>
      </c>
      <c r="I882">
        <f t="shared" si="78"/>
        <v>0</v>
      </c>
      <c r="J882">
        <f t="shared" si="79"/>
        <v>0</v>
      </c>
      <c r="K882">
        <f t="shared" si="80"/>
        <v>0</v>
      </c>
      <c r="L882">
        <f t="shared" si="82"/>
        <v>0</v>
      </c>
      <c r="M882">
        <f t="shared" si="83"/>
        <v>0</v>
      </c>
    </row>
    <row r="883" spans="8:13" x14ac:dyDescent="0.25">
      <c r="H883">
        <f t="shared" si="81"/>
        <v>0</v>
      </c>
      <c r="I883">
        <f t="shared" si="78"/>
        <v>0</v>
      </c>
      <c r="J883">
        <f t="shared" si="79"/>
        <v>0</v>
      </c>
      <c r="K883">
        <f t="shared" si="80"/>
        <v>0</v>
      </c>
      <c r="L883">
        <f t="shared" si="82"/>
        <v>0</v>
      </c>
      <c r="M883">
        <f t="shared" si="83"/>
        <v>0</v>
      </c>
    </row>
    <row r="884" spans="8:13" x14ac:dyDescent="0.25">
      <c r="H884">
        <f t="shared" si="81"/>
        <v>0</v>
      </c>
      <c r="I884">
        <f t="shared" si="78"/>
        <v>0</v>
      </c>
      <c r="J884">
        <f t="shared" si="79"/>
        <v>0</v>
      </c>
      <c r="K884">
        <f t="shared" si="80"/>
        <v>0</v>
      </c>
      <c r="L884">
        <f t="shared" si="82"/>
        <v>0</v>
      </c>
      <c r="M884">
        <f t="shared" si="83"/>
        <v>0</v>
      </c>
    </row>
    <row r="885" spans="8:13" x14ac:dyDescent="0.25">
      <c r="H885">
        <f t="shared" si="81"/>
        <v>0</v>
      </c>
      <c r="I885">
        <f t="shared" si="78"/>
        <v>0</v>
      </c>
      <c r="J885">
        <f t="shared" si="79"/>
        <v>0</v>
      </c>
      <c r="K885">
        <f t="shared" si="80"/>
        <v>0</v>
      </c>
      <c r="L885">
        <f t="shared" si="82"/>
        <v>0</v>
      </c>
      <c r="M885">
        <f t="shared" si="83"/>
        <v>0</v>
      </c>
    </row>
    <row r="886" spans="8:13" x14ac:dyDescent="0.25">
      <c r="H886">
        <f t="shared" si="81"/>
        <v>0</v>
      </c>
      <c r="I886">
        <f t="shared" si="78"/>
        <v>0</v>
      </c>
      <c r="J886">
        <f t="shared" si="79"/>
        <v>0</v>
      </c>
      <c r="K886">
        <f t="shared" si="80"/>
        <v>0</v>
      </c>
      <c r="L886">
        <f t="shared" si="82"/>
        <v>0</v>
      </c>
      <c r="M886">
        <f t="shared" si="83"/>
        <v>0</v>
      </c>
    </row>
    <row r="887" spans="8:13" x14ac:dyDescent="0.25">
      <c r="H887">
        <f t="shared" si="81"/>
        <v>0</v>
      </c>
      <c r="I887">
        <f t="shared" si="78"/>
        <v>0</v>
      </c>
      <c r="J887">
        <f t="shared" si="79"/>
        <v>0</v>
      </c>
      <c r="K887">
        <f t="shared" si="80"/>
        <v>0</v>
      </c>
      <c r="L887">
        <f t="shared" si="82"/>
        <v>0</v>
      </c>
      <c r="M887">
        <f t="shared" si="83"/>
        <v>0</v>
      </c>
    </row>
    <row r="888" spans="8:13" x14ac:dyDescent="0.25">
      <c r="H888">
        <f t="shared" si="81"/>
        <v>0</v>
      </c>
      <c r="I888">
        <f t="shared" si="78"/>
        <v>0</v>
      </c>
      <c r="J888">
        <f t="shared" si="79"/>
        <v>0</v>
      </c>
      <c r="K888">
        <f t="shared" si="80"/>
        <v>0</v>
      </c>
      <c r="L888">
        <f t="shared" si="82"/>
        <v>0</v>
      </c>
      <c r="M888">
        <f t="shared" si="83"/>
        <v>0</v>
      </c>
    </row>
    <row r="889" spans="8:13" x14ac:dyDescent="0.25">
      <c r="H889">
        <f t="shared" si="81"/>
        <v>0</v>
      </c>
      <c r="I889">
        <f t="shared" si="78"/>
        <v>0</v>
      </c>
      <c r="J889">
        <f t="shared" si="79"/>
        <v>0</v>
      </c>
      <c r="K889">
        <f t="shared" si="80"/>
        <v>0</v>
      </c>
      <c r="L889">
        <f t="shared" si="82"/>
        <v>0</v>
      </c>
      <c r="M889">
        <f t="shared" si="83"/>
        <v>0</v>
      </c>
    </row>
    <row r="890" spans="8:13" x14ac:dyDescent="0.25">
      <c r="H890">
        <f t="shared" si="81"/>
        <v>0</v>
      </c>
      <c r="I890">
        <f t="shared" si="78"/>
        <v>0</v>
      </c>
      <c r="J890">
        <f t="shared" si="79"/>
        <v>0</v>
      </c>
      <c r="K890">
        <f t="shared" si="80"/>
        <v>0</v>
      </c>
      <c r="L890">
        <f t="shared" si="82"/>
        <v>0</v>
      </c>
      <c r="M890">
        <f t="shared" si="83"/>
        <v>0</v>
      </c>
    </row>
    <row r="891" spans="8:13" x14ac:dyDescent="0.25">
      <c r="H891">
        <f t="shared" si="81"/>
        <v>0</v>
      </c>
      <c r="I891">
        <f t="shared" si="78"/>
        <v>0</v>
      </c>
      <c r="J891">
        <f t="shared" si="79"/>
        <v>0</v>
      </c>
      <c r="K891">
        <f t="shared" si="80"/>
        <v>0</v>
      </c>
      <c r="L891">
        <f t="shared" si="82"/>
        <v>0</v>
      </c>
      <c r="M891">
        <f t="shared" si="83"/>
        <v>0</v>
      </c>
    </row>
    <row r="892" spans="8:13" x14ac:dyDescent="0.25">
      <c r="H892">
        <f t="shared" si="81"/>
        <v>0</v>
      </c>
      <c r="I892">
        <f t="shared" si="78"/>
        <v>0</v>
      </c>
      <c r="J892">
        <f t="shared" si="79"/>
        <v>0</v>
      </c>
      <c r="K892">
        <f t="shared" si="80"/>
        <v>0</v>
      </c>
      <c r="L892">
        <f t="shared" si="82"/>
        <v>0</v>
      </c>
      <c r="M892">
        <f t="shared" si="83"/>
        <v>0</v>
      </c>
    </row>
    <row r="893" spans="8:13" x14ac:dyDescent="0.25">
      <c r="H893">
        <f t="shared" si="81"/>
        <v>0</v>
      </c>
      <c r="I893">
        <f t="shared" si="78"/>
        <v>0</v>
      </c>
      <c r="J893">
        <f t="shared" si="79"/>
        <v>0</v>
      </c>
      <c r="K893">
        <f t="shared" si="80"/>
        <v>0</v>
      </c>
      <c r="L893">
        <f t="shared" si="82"/>
        <v>0</v>
      </c>
      <c r="M893">
        <f t="shared" si="83"/>
        <v>0</v>
      </c>
    </row>
    <row r="894" spans="8:13" x14ac:dyDescent="0.25">
      <c r="H894">
        <f t="shared" si="81"/>
        <v>0</v>
      </c>
      <c r="I894">
        <f t="shared" si="78"/>
        <v>0</v>
      </c>
      <c r="J894">
        <f t="shared" si="79"/>
        <v>0</v>
      </c>
      <c r="K894">
        <f t="shared" si="80"/>
        <v>0</v>
      </c>
      <c r="L894">
        <f t="shared" si="82"/>
        <v>0</v>
      </c>
      <c r="M894">
        <f t="shared" si="83"/>
        <v>0</v>
      </c>
    </row>
    <row r="895" spans="8:13" x14ac:dyDescent="0.25">
      <c r="H895">
        <f t="shared" si="81"/>
        <v>0</v>
      </c>
      <c r="I895">
        <f t="shared" si="78"/>
        <v>0</v>
      </c>
      <c r="J895">
        <f t="shared" si="79"/>
        <v>0</v>
      </c>
      <c r="K895">
        <f t="shared" si="80"/>
        <v>0</v>
      </c>
      <c r="L895">
        <f t="shared" si="82"/>
        <v>0</v>
      </c>
      <c r="M895">
        <f t="shared" si="83"/>
        <v>0</v>
      </c>
    </row>
    <row r="896" spans="8:13" x14ac:dyDescent="0.25">
      <c r="H896">
        <f t="shared" si="81"/>
        <v>0</v>
      </c>
      <c r="I896">
        <f t="shared" si="78"/>
        <v>0</v>
      </c>
      <c r="J896">
        <f t="shared" si="79"/>
        <v>0</v>
      </c>
      <c r="K896">
        <f t="shared" si="80"/>
        <v>0</v>
      </c>
      <c r="L896">
        <f t="shared" si="82"/>
        <v>0</v>
      </c>
      <c r="M896">
        <f t="shared" si="83"/>
        <v>0</v>
      </c>
    </row>
    <row r="897" spans="8:13" x14ac:dyDescent="0.25">
      <c r="H897">
        <f t="shared" si="81"/>
        <v>0</v>
      </c>
      <c r="I897">
        <f t="shared" si="78"/>
        <v>0</v>
      </c>
      <c r="J897">
        <f t="shared" si="79"/>
        <v>0</v>
      </c>
      <c r="K897">
        <f t="shared" si="80"/>
        <v>0</v>
      </c>
      <c r="L897">
        <f t="shared" si="82"/>
        <v>0</v>
      </c>
      <c r="M897">
        <f t="shared" si="83"/>
        <v>0</v>
      </c>
    </row>
    <row r="898" spans="8:13" x14ac:dyDescent="0.25">
      <c r="H898">
        <f t="shared" si="81"/>
        <v>0</v>
      </c>
      <c r="I898">
        <f t="shared" ref="I898:I961" si="84">C898*$I$1</f>
        <v>0</v>
      </c>
      <c r="J898">
        <f t="shared" ref="J898:J961" si="85">D898*$J$1</f>
        <v>0</v>
      </c>
      <c r="K898">
        <f t="shared" ref="K898:K961" si="86">E898*$K$1</f>
        <v>0</v>
      </c>
      <c r="L898">
        <f t="shared" si="82"/>
        <v>0</v>
      </c>
      <c r="M898">
        <f t="shared" si="83"/>
        <v>0</v>
      </c>
    </row>
    <row r="899" spans="8:13" x14ac:dyDescent="0.25">
      <c r="H899">
        <f t="shared" ref="H899:H962" si="87">B899*$H$1</f>
        <v>0</v>
      </c>
      <c r="I899">
        <f t="shared" si="84"/>
        <v>0</v>
      </c>
      <c r="J899">
        <f t="shared" si="85"/>
        <v>0</v>
      </c>
      <c r="K899">
        <f t="shared" si="86"/>
        <v>0</v>
      </c>
      <c r="L899">
        <f t="shared" ref="L899:L962" si="88">F899*$L$1</f>
        <v>0</v>
      </c>
      <c r="M899">
        <f t="shared" ref="M899:M962" si="89">SUM(H899:L899)</f>
        <v>0</v>
      </c>
    </row>
    <row r="900" spans="8:13" x14ac:dyDescent="0.25">
      <c r="H900">
        <f t="shared" si="87"/>
        <v>0</v>
      </c>
      <c r="I900">
        <f t="shared" si="84"/>
        <v>0</v>
      </c>
      <c r="J900">
        <f t="shared" si="85"/>
        <v>0</v>
      </c>
      <c r="K900">
        <f t="shared" si="86"/>
        <v>0</v>
      </c>
      <c r="L900">
        <f t="shared" si="88"/>
        <v>0</v>
      </c>
      <c r="M900">
        <f t="shared" si="89"/>
        <v>0</v>
      </c>
    </row>
    <row r="901" spans="8:13" x14ac:dyDescent="0.25">
      <c r="H901">
        <f t="shared" si="87"/>
        <v>0</v>
      </c>
      <c r="I901">
        <f t="shared" si="84"/>
        <v>0</v>
      </c>
      <c r="J901">
        <f t="shared" si="85"/>
        <v>0</v>
      </c>
      <c r="K901">
        <f t="shared" si="86"/>
        <v>0</v>
      </c>
      <c r="L901">
        <f t="shared" si="88"/>
        <v>0</v>
      </c>
      <c r="M901">
        <f t="shared" si="89"/>
        <v>0</v>
      </c>
    </row>
    <row r="902" spans="8:13" x14ac:dyDescent="0.25">
      <c r="H902">
        <f t="shared" si="87"/>
        <v>0</v>
      </c>
      <c r="I902">
        <f t="shared" si="84"/>
        <v>0</v>
      </c>
      <c r="J902">
        <f t="shared" si="85"/>
        <v>0</v>
      </c>
      <c r="K902">
        <f t="shared" si="86"/>
        <v>0</v>
      </c>
      <c r="L902">
        <f t="shared" si="88"/>
        <v>0</v>
      </c>
      <c r="M902">
        <f t="shared" si="89"/>
        <v>0</v>
      </c>
    </row>
    <row r="903" spans="8:13" x14ac:dyDescent="0.25">
      <c r="H903">
        <f t="shared" si="87"/>
        <v>0</v>
      </c>
      <c r="I903">
        <f t="shared" si="84"/>
        <v>0</v>
      </c>
      <c r="J903">
        <f t="shared" si="85"/>
        <v>0</v>
      </c>
      <c r="K903">
        <f t="shared" si="86"/>
        <v>0</v>
      </c>
      <c r="L903">
        <f t="shared" si="88"/>
        <v>0</v>
      </c>
      <c r="M903">
        <f t="shared" si="89"/>
        <v>0</v>
      </c>
    </row>
    <row r="904" spans="8:13" x14ac:dyDescent="0.25">
      <c r="H904">
        <f t="shared" si="87"/>
        <v>0</v>
      </c>
      <c r="I904">
        <f t="shared" si="84"/>
        <v>0</v>
      </c>
      <c r="J904">
        <f t="shared" si="85"/>
        <v>0</v>
      </c>
      <c r="K904">
        <f t="shared" si="86"/>
        <v>0</v>
      </c>
      <c r="L904">
        <f t="shared" si="88"/>
        <v>0</v>
      </c>
      <c r="M904">
        <f t="shared" si="89"/>
        <v>0</v>
      </c>
    </row>
    <row r="905" spans="8:13" x14ac:dyDescent="0.25">
      <c r="H905">
        <f t="shared" si="87"/>
        <v>0</v>
      </c>
      <c r="I905">
        <f t="shared" si="84"/>
        <v>0</v>
      </c>
      <c r="J905">
        <f t="shared" si="85"/>
        <v>0</v>
      </c>
      <c r="K905">
        <f t="shared" si="86"/>
        <v>0</v>
      </c>
      <c r="L905">
        <f t="shared" si="88"/>
        <v>0</v>
      </c>
      <c r="M905">
        <f t="shared" si="89"/>
        <v>0</v>
      </c>
    </row>
    <row r="906" spans="8:13" x14ac:dyDescent="0.25">
      <c r="H906">
        <f t="shared" si="87"/>
        <v>0</v>
      </c>
      <c r="I906">
        <f t="shared" si="84"/>
        <v>0</v>
      </c>
      <c r="J906">
        <f t="shared" si="85"/>
        <v>0</v>
      </c>
      <c r="K906">
        <f t="shared" si="86"/>
        <v>0</v>
      </c>
      <c r="L906">
        <f t="shared" si="88"/>
        <v>0</v>
      </c>
      <c r="M906">
        <f t="shared" si="89"/>
        <v>0</v>
      </c>
    </row>
    <row r="907" spans="8:13" x14ac:dyDescent="0.25">
      <c r="H907">
        <f t="shared" si="87"/>
        <v>0</v>
      </c>
      <c r="I907">
        <f t="shared" si="84"/>
        <v>0</v>
      </c>
      <c r="J907">
        <f t="shared" si="85"/>
        <v>0</v>
      </c>
      <c r="K907">
        <f t="shared" si="86"/>
        <v>0</v>
      </c>
      <c r="L907">
        <f t="shared" si="88"/>
        <v>0</v>
      </c>
      <c r="M907">
        <f t="shared" si="89"/>
        <v>0</v>
      </c>
    </row>
    <row r="908" spans="8:13" x14ac:dyDescent="0.25">
      <c r="H908">
        <f t="shared" si="87"/>
        <v>0</v>
      </c>
      <c r="I908">
        <f t="shared" si="84"/>
        <v>0</v>
      </c>
      <c r="J908">
        <f t="shared" si="85"/>
        <v>0</v>
      </c>
      <c r="K908">
        <f t="shared" si="86"/>
        <v>0</v>
      </c>
      <c r="L908">
        <f t="shared" si="88"/>
        <v>0</v>
      </c>
      <c r="M908">
        <f t="shared" si="89"/>
        <v>0</v>
      </c>
    </row>
    <row r="909" spans="8:13" x14ac:dyDescent="0.25">
      <c r="H909">
        <f t="shared" si="87"/>
        <v>0</v>
      </c>
      <c r="I909">
        <f t="shared" si="84"/>
        <v>0</v>
      </c>
      <c r="J909">
        <f t="shared" si="85"/>
        <v>0</v>
      </c>
      <c r="K909">
        <f t="shared" si="86"/>
        <v>0</v>
      </c>
      <c r="L909">
        <f t="shared" si="88"/>
        <v>0</v>
      </c>
      <c r="M909">
        <f t="shared" si="89"/>
        <v>0</v>
      </c>
    </row>
    <row r="910" spans="8:13" x14ac:dyDescent="0.25">
      <c r="H910">
        <f t="shared" si="87"/>
        <v>0</v>
      </c>
      <c r="I910">
        <f t="shared" si="84"/>
        <v>0</v>
      </c>
      <c r="J910">
        <f t="shared" si="85"/>
        <v>0</v>
      </c>
      <c r="K910">
        <f t="shared" si="86"/>
        <v>0</v>
      </c>
      <c r="L910">
        <f t="shared" si="88"/>
        <v>0</v>
      </c>
      <c r="M910">
        <f t="shared" si="89"/>
        <v>0</v>
      </c>
    </row>
    <row r="911" spans="8:13" x14ac:dyDescent="0.25">
      <c r="H911">
        <f t="shared" si="87"/>
        <v>0</v>
      </c>
      <c r="I911">
        <f t="shared" si="84"/>
        <v>0</v>
      </c>
      <c r="J911">
        <f t="shared" si="85"/>
        <v>0</v>
      </c>
      <c r="K911">
        <f t="shared" si="86"/>
        <v>0</v>
      </c>
      <c r="L911">
        <f t="shared" si="88"/>
        <v>0</v>
      </c>
      <c r="M911">
        <f t="shared" si="89"/>
        <v>0</v>
      </c>
    </row>
    <row r="912" spans="8:13" x14ac:dyDescent="0.25">
      <c r="H912">
        <f t="shared" si="87"/>
        <v>0</v>
      </c>
      <c r="I912">
        <f t="shared" si="84"/>
        <v>0</v>
      </c>
      <c r="J912">
        <f t="shared" si="85"/>
        <v>0</v>
      </c>
      <c r="K912">
        <f t="shared" si="86"/>
        <v>0</v>
      </c>
      <c r="L912">
        <f t="shared" si="88"/>
        <v>0</v>
      </c>
      <c r="M912">
        <f t="shared" si="89"/>
        <v>0</v>
      </c>
    </row>
    <row r="913" spans="8:13" x14ac:dyDescent="0.25">
      <c r="H913">
        <f t="shared" si="87"/>
        <v>0</v>
      </c>
      <c r="I913">
        <f t="shared" si="84"/>
        <v>0</v>
      </c>
      <c r="J913">
        <f t="shared" si="85"/>
        <v>0</v>
      </c>
      <c r="K913">
        <f t="shared" si="86"/>
        <v>0</v>
      </c>
      <c r="L913">
        <f t="shared" si="88"/>
        <v>0</v>
      </c>
      <c r="M913">
        <f t="shared" si="89"/>
        <v>0</v>
      </c>
    </row>
    <row r="914" spans="8:13" x14ac:dyDescent="0.25">
      <c r="H914">
        <f t="shared" si="87"/>
        <v>0</v>
      </c>
      <c r="I914">
        <f t="shared" si="84"/>
        <v>0</v>
      </c>
      <c r="J914">
        <f t="shared" si="85"/>
        <v>0</v>
      </c>
      <c r="K914">
        <f t="shared" si="86"/>
        <v>0</v>
      </c>
      <c r="L914">
        <f t="shared" si="88"/>
        <v>0</v>
      </c>
      <c r="M914">
        <f t="shared" si="89"/>
        <v>0</v>
      </c>
    </row>
    <row r="915" spans="8:13" x14ac:dyDescent="0.25">
      <c r="H915">
        <f t="shared" si="87"/>
        <v>0</v>
      </c>
      <c r="I915">
        <f t="shared" si="84"/>
        <v>0</v>
      </c>
      <c r="J915">
        <f t="shared" si="85"/>
        <v>0</v>
      </c>
      <c r="K915">
        <f t="shared" si="86"/>
        <v>0</v>
      </c>
      <c r="L915">
        <f t="shared" si="88"/>
        <v>0</v>
      </c>
      <c r="M915">
        <f t="shared" si="89"/>
        <v>0</v>
      </c>
    </row>
    <row r="916" spans="8:13" x14ac:dyDescent="0.25">
      <c r="H916">
        <f t="shared" si="87"/>
        <v>0</v>
      </c>
      <c r="I916">
        <f t="shared" si="84"/>
        <v>0</v>
      </c>
      <c r="J916">
        <f t="shared" si="85"/>
        <v>0</v>
      </c>
      <c r="K916">
        <f t="shared" si="86"/>
        <v>0</v>
      </c>
      <c r="L916">
        <f t="shared" si="88"/>
        <v>0</v>
      </c>
      <c r="M916">
        <f t="shared" si="89"/>
        <v>0</v>
      </c>
    </row>
    <row r="917" spans="8:13" x14ac:dyDescent="0.25">
      <c r="H917">
        <f t="shared" si="87"/>
        <v>0</v>
      </c>
      <c r="I917">
        <f t="shared" si="84"/>
        <v>0</v>
      </c>
      <c r="J917">
        <f t="shared" si="85"/>
        <v>0</v>
      </c>
      <c r="K917">
        <f t="shared" si="86"/>
        <v>0</v>
      </c>
      <c r="L917">
        <f t="shared" si="88"/>
        <v>0</v>
      </c>
      <c r="M917">
        <f t="shared" si="89"/>
        <v>0</v>
      </c>
    </row>
    <row r="918" spans="8:13" x14ac:dyDescent="0.25">
      <c r="H918">
        <f t="shared" si="87"/>
        <v>0</v>
      </c>
      <c r="I918">
        <f t="shared" si="84"/>
        <v>0</v>
      </c>
      <c r="J918">
        <f t="shared" si="85"/>
        <v>0</v>
      </c>
      <c r="K918">
        <f t="shared" si="86"/>
        <v>0</v>
      </c>
      <c r="L918">
        <f t="shared" si="88"/>
        <v>0</v>
      </c>
      <c r="M918">
        <f t="shared" si="89"/>
        <v>0</v>
      </c>
    </row>
    <row r="919" spans="8:13" x14ac:dyDescent="0.25">
      <c r="H919">
        <f t="shared" si="87"/>
        <v>0</v>
      </c>
      <c r="I919">
        <f t="shared" si="84"/>
        <v>0</v>
      </c>
      <c r="J919">
        <f t="shared" si="85"/>
        <v>0</v>
      </c>
      <c r="K919">
        <f t="shared" si="86"/>
        <v>0</v>
      </c>
      <c r="L919">
        <f t="shared" si="88"/>
        <v>0</v>
      </c>
      <c r="M919">
        <f t="shared" si="89"/>
        <v>0</v>
      </c>
    </row>
    <row r="920" spans="8:13" x14ac:dyDescent="0.25">
      <c r="H920">
        <f t="shared" si="87"/>
        <v>0</v>
      </c>
      <c r="I920">
        <f t="shared" si="84"/>
        <v>0</v>
      </c>
      <c r="J920">
        <f t="shared" si="85"/>
        <v>0</v>
      </c>
      <c r="K920">
        <f t="shared" si="86"/>
        <v>0</v>
      </c>
      <c r="L920">
        <f t="shared" si="88"/>
        <v>0</v>
      </c>
      <c r="M920">
        <f t="shared" si="89"/>
        <v>0</v>
      </c>
    </row>
    <row r="921" spans="8:13" x14ac:dyDescent="0.25">
      <c r="H921">
        <f t="shared" si="87"/>
        <v>0</v>
      </c>
      <c r="I921">
        <f t="shared" si="84"/>
        <v>0</v>
      </c>
      <c r="J921">
        <f t="shared" si="85"/>
        <v>0</v>
      </c>
      <c r="K921">
        <f t="shared" si="86"/>
        <v>0</v>
      </c>
      <c r="L921">
        <f t="shared" si="88"/>
        <v>0</v>
      </c>
      <c r="M921">
        <f t="shared" si="89"/>
        <v>0</v>
      </c>
    </row>
    <row r="922" spans="8:13" x14ac:dyDescent="0.25">
      <c r="H922">
        <f t="shared" si="87"/>
        <v>0</v>
      </c>
      <c r="I922">
        <f t="shared" si="84"/>
        <v>0</v>
      </c>
      <c r="J922">
        <f t="shared" si="85"/>
        <v>0</v>
      </c>
      <c r="K922">
        <f t="shared" si="86"/>
        <v>0</v>
      </c>
      <c r="L922">
        <f t="shared" si="88"/>
        <v>0</v>
      </c>
      <c r="M922">
        <f t="shared" si="89"/>
        <v>0</v>
      </c>
    </row>
    <row r="923" spans="8:13" x14ac:dyDescent="0.25">
      <c r="H923">
        <f t="shared" si="87"/>
        <v>0</v>
      </c>
      <c r="I923">
        <f t="shared" si="84"/>
        <v>0</v>
      </c>
      <c r="J923">
        <f t="shared" si="85"/>
        <v>0</v>
      </c>
      <c r="K923">
        <f t="shared" si="86"/>
        <v>0</v>
      </c>
      <c r="L923">
        <f t="shared" si="88"/>
        <v>0</v>
      </c>
      <c r="M923">
        <f t="shared" si="89"/>
        <v>0</v>
      </c>
    </row>
    <row r="924" spans="8:13" x14ac:dyDescent="0.25">
      <c r="H924">
        <f t="shared" si="87"/>
        <v>0</v>
      </c>
      <c r="I924">
        <f t="shared" si="84"/>
        <v>0</v>
      </c>
      <c r="J924">
        <f t="shared" si="85"/>
        <v>0</v>
      </c>
      <c r="K924">
        <f t="shared" si="86"/>
        <v>0</v>
      </c>
      <c r="L924">
        <f t="shared" si="88"/>
        <v>0</v>
      </c>
      <c r="M924">
        <f t="shared" si="89"/>
        <v>0</v>
      </c>
    </row>
    <row r="925" spans="8:13" x14ac:dyDescent="0.25">
      <c r="H925">
        <f t="shared" si="87"/>
        <v>0</v>
      </c>
      <c r="I925">
        <f t="shared" si="84"/>
        <v>0</v>
      </c>
      <c r="J925">
        <f t="shared" si="85"/>
        <v>0</v>
      </c>
      <c r="K925">
        <f t="shared" si="86"/>
        <v>0</v>
      </c>
      <c r="L925">
        <f t="shared" si="88"/>
        <v>0</v>
      </c>
      <c r="M925">
        <f t="shared" si="89"/>
        <v>0</v>
      </c>
    </row>
    <row r="926" spans="8:13" x14ac:dyDescent="0.25">
      <c r="H926">
        <f t="shared" si="87"/>
        <v>0</v>
      </c>
      <c r="I926">
        <f t="shared" si="84"/>
        <v>0</v>
      </c>
      <c r="J926">
        <f t="shared" si="85"/>
        <v>0</v>
      </c>
      <c r="K926">
        <f t="shared" si="86"/>
        <v>0</v>
      </c>
      <c r="L926">
        <f t="shared" si="88"/>
        <v>0</v>
      </c>
      <c r="M926">
        <f t="shared" si="89"/>
        <v>0</v>
      </c>
    </row>
    <row r="927" spans="8:13" x14ac:dyDescent="0.25">
      <c r="H927">
        <f t="shared" si="87"/>
        <v>0</v>
      </c>
      <c r="I927">
        <f t="shared" si="84"/>
        <v>0</v>
      </c>
      <c r="J927">
        <f t="shared" si="85"/>
        <v>0</v>
      </c>
      <c r="K927">
        <f t="shared" si="86"/>
        <v>0</v>
      </c>
      <c r="L927">
        <f t="shared" si="88"/>
        <v>0</v>
      </c>
      <c r="M927">
        <f t="shared" si="89"/>
        <v>0</v>
      </c>
    </row>
    <row r="928" spans="8:13" x14ac:dyDescent="0.25">
      <c r="H928">
        <f t="shared" si="87"/>
        <v>0</v>
      </c>
      <c r="I928">
        <f t="shared" si="84"/>
        <v>0</v>
      </c>
      <c r="J928">
        <f t="shared" si="85"/>
        <v>0</v>
      </c>
      <c r="K928">
        <f t="shared" si="86"/>
        <v>0</v>
      </c>
      <c r="L928">
        <f t="shared" si="88"/>
        <v>0</v>
      </c>
      <c r="M928">
        <f t="shared" si="89"/>
        <v>0</v>
      </c>
    </row>
    <row r="929" spans="8:13" x14ac:dyDescent="0.25">
      <c r="H929">
        <f t="shared" si="87"/>
        <v>0</v>
      </c>
      <c r="I929">
        <f t="shared" si="84"/>
        <v>0</v>
      </c>
      <c r="J929">
        <f t="shared" si="85"/>
        <v>0</v>
      </c>
      <c r="K929">
        <f t="shared" si="86"/>
        <v>0</v>
      </c>
      <c r="L929">
        <f t="shared" si="88"/>
        <v>0</v>
      </c>
      <c r="M929">
        <f t="shared" si="89"/>
        <v>0</v>
      </c>
    </row>
    <row r="930" spans="8:13" x14ac:dyDescent="0.25">
      <c r="H930">
        <f t="shared" si="87"/>
        <v>0</v>
      </c>
      <c r="I930">
        <f t="shared" si="84"/>
        <v>0</v>
      </c>
      <c r="J930">
        <f t="shared" si="85"/>
        <v>0</v>
      </c>
      <c r="K930">
        <f t="shared" si="86"/>
        <v>0</v>
      </c>
      <c r="L930">
        <f t="shared" si="88"/>
        <v>0</v>
      </c>
      <c r="M930">
        <f t="shared" si="89"/>
        <v>0</v>
      </c>
    </row>
    <row r="931" spans="8:13" x14ac:dyDescent="0.25">
      <c r="H931">
        <f t="shared" si="87"/>
        <v>0</v>
      </c>
      <c r="I931">
        <f t="shared" si="84"/>
        <v>0</v>
      </c>
      <c r="J931">
        <f t="shared" si="85"/>
        <v>0</v>
      </c>
      <c r="K931">
        <f t="shared" si="86"/>
        <v>0</v>
      </c>
      <c r="L931">
        <f t="shared" si="88"/>
        <v>0</v>
      </c>
      <c r="M931">
        <f t="shared" si="89"/>
        <v>0</v>
      </c>
    </row>
    <row r="932" spans="8:13" x14ac:dyDescent="0.25">
      <c r="H932">
        <f t="shared" si="87"/>
        <v>0</v>
      </c>
      <c r="I932">
        <f t="shared" si="84"/>
        <v>0</v>
      </c>
      <c r="J932">
        <f t="shared" si="85"/>
        <v>0</v>
      </c>
      <c r="K932">
        <f t="shared" si="86"/>
        <v>0</v>
      </c>
      <c r="L932">
        <f t="shared" si="88"/>
        <v>0</v>
      </c>
      <c r="M932">
        <f t="shared" si="89"/>
        <v>0</v>
      </c>
    </row>
    <row r="933" spans="8:13" x14ac:dyDescent="0.25">
      <c r="H933">
        <f t="shared" si="87"/>
        <v>0</v>
      </c>
      <c r="I933">
        <f t="shared" si="84"/>
        <v>0</v>
      </c>
      <c r="J933">
        <f t="shared" si="85"/>
        <v>0</v>
      </c>
      <c r="K933">
        <f t="shared" si="86"/>
        <v>0</v>
      </c>
      <c r="L933">
        <f t="shared" si="88"/>
        <v>0</v>
      </c>
      <c r="M933">
        <f t="shared" si="89"/>
        <v>0</v>
      </c>
    </row>
    <row r="934" spans="8:13" x14ac:dyDescent="0.25">
      <c r="H934">
        <f t="shared" si="87"/>
        <v>0</v>
      </c>
      <c r="I934">
        <f t="shared" si="84"/>
        <v>0</v>
      </c>
      <c r="J934">
        <f t="shared" si="85"/>
        <v>0</v>
      </c>
      <c r="K934">
        <f t="shared" si="86"/>
        <v>0</v>
      </c>
      <c r="L934">
        <f t="shared" si="88"/>
        <v>0</v>
      </c>
      <c r="M934">
        <f t="shared" si="89"/>
        <v>0</v>
      </c>
    </row>
    <row r="935" spans="8:13" x14ac:dyDescent="0.25">
      <c r="H935">
        <f t="shared" si="87"/>
        <v>0</v>
      </c>
      <c r="I935">
        <f t="shared" si="84"/>
        <v>0</v>
      </c>
      <c r="J935">
        <f t="shared" si="85"/>
        <v>0</v>
      </c>
      <c r="K935">
        <f t="shared" si="86"/>
        <v>0</v>
      </c>
      <c r="L935">
        <f t="shared" si="88"/>
        <v>0</v>
      </c>
      <c r="M935">
        <f t="shared" si="89"/>
        <v>0</v>
      </c>
    </row>
    <row r="936" spans="8:13" x14ac:dyDescent="0.25">
      <c r="H936">
        <f t="shared" si="87"/>
        <v>0</v>
      </c>
      <c r="I936">
        <f t="shared" si="84"/>
        <v>0</v>
      </c>
      <c r="J936">
        <f t="shared" si="85"/>
        <v>0</v>
      </c>
      <c r="K936">
        <f t="shared" si="86"/>
        <v>0</v>
      </c>
      <c r="L936">
        <f t="shared" si="88"/>
        <v>0</v>
      </c>
      <c r="M936">
        <f t="shared" si="89"/>
        <v>0</v>
      </c>
    </row>
    <row r="937" spans="8:13" x14ac:dyDescent="0.25">
      <c r="H937">
        <f t="shared" si="87"/>
        <v>0</v>
      </c>
      <c r="I937">
        <f t="shared" si="84"/>
        <v>0</v>
      </c>
      <c r="J937">
        <f t="shared" si="85"/>
        <v>0</v>
      </c>
      <c r="K937">
        <f t="shared" si="86"/>
        <v>0</v>
      </c>
      <c r="L937">
        <f t="shared" si="88"/>
        <v>0</v>
      </c>
      <c r="M937">
        <f t="shared" si="89"/>
        <v>0</v>
      </c>
    </row>
    <row r="938" spans="8:13" x14ac:dyDescent="0.25">
      <c r="H938">
        <f t="shared" si="87"/>
        <v>0</v>
      </c>
      <c r="I938">
        <f t="shared" si="84"/>
        <v>0</v>
      </c>
      <c r="J938">
        <f t="shared" si="85"/>
        <v>0</v>
      </c>
      <c r="K938">
        <f t="shared" si="86"/>
        <v>0</v>
      </c>
      <c r="L938">
        <f t="shared" si="88"/>
        <v>0</v>
      </c>
      <c r="M938">
        <f t="shared" si="89"/>
        <v>0</v>
      </c>
    </row>
    <row r="939" spans="8:13" x14ac:dyDescent="0.25">
      <c r="H939">
        <f t="shared" si="87"/>
        <v>0</v>
      </c>
      <c r="I939">
        <f t="shared" si="84"/>
        <v>0</v>
      </c>
      <c r="J939">
        <f t="shared" si="85"/>
        <v>0</v>
      </c>
      <c r="K939">
        <f t="shared" si="86"/>
        <v>0</v>
      </c>
      <c r="L939">
        <f t="shared" si="88"/>
        <v>0</v>
      </c>
      <c r="M939">
        <f t="shared" si="89"/>
        <v>0</v>
      </c>
    </row>
    <row r="940" spans="8:13" x14ac:dyDescent="0.25">
      <c r="H940">
        <f t="shared" si="87"/>
        <v>0</v>
      </c>
      <c r="I940">
        <f t="shared" si="84"/>
        <v>0</v>
      </c>
      <c r="J940">
        <f t="shared" si="85"/>
        <v>0</v>
      </c>
      <c r="K940">
        <f t="shared" si="86"/>
        <v>0</v>
      </c>
      <c r="L940">
        <f t="shared" si="88"/>
        <v>0</v>
      </c>
      <c r="M940">
        <f t="shared" si="89"/>
        <v>0</v>
      </c>
    </row>
    <row r="941" spans="8:13" x14ac:dyDescent="0.25">
      <c r="H941">
        <f t="shared" si="87"/>
        <v>0</v>
      </c>
      <c r="I941">
        <f t="shared" si="84"/>
        <v>0</v>
      </c>
      <c r="J941">
        <f t="shared" si="85"/>
        <v>0</v>
      </c>
      <c r="K941">
        <f t="shared" si="86"/>
        <v>0</v>
      </c>
      <c r="L941">
        <f t="shared" si="88"/>
        <v>0</v>
      </c>
      <c r="M941">
        <f t="shared" si="89"/>
        <v>0</v>
      </c>
    </row>
    <row r="942" spans="8:13" x14ac:dyDescent="0.25">
      <c r="H942">
        <f t="shared" si="87"/>
        <v>0</v>
      </c>
      <c r="I942">
        <f t="shared" si="84"/>
        <v>0</v>
      </c>
      <c r="J942">
        <f t="shared" si="85"/>
        <v>0</v>
      </c>
      <c r="K942">
        <f t="shared" si="86"/>
        <v>0</v>
      </c>
      <c r="L942">
        <f t="shared" si="88"/>
        <v>0</v>
      </c>
      <c r="M942">
        <f t="shared" si="89"/>
        <v>0</v>
      </c>
    </row>
    <row r="943" spans="8:13" x14ac:dyDescent="0.25">
      <c r="H943">
        <f t="shared" si="87"/>
        <v>0</v>
      </c>
      <c r="I943">
        <f t="shared" si="84"/>
        <v>0</v>
      </c>
      <c r="J943">
        <f t="shared" si="85"/>
        <v>0</v>
      </c>
      <c r="K943">
        <f t="shared" si="86"/>
        <v>0</v>
      </c>
      <c r="L943">
        <f t="shared" si="88"/>
        <v>0</v>
      </c>
      <c r="M943">
        <f t="shared" si="89"/>
        <v>0</v>
      </c>
    </row>
    <row r="944" spans="8:13" x14ac:dyDescent="0.25">
      <c r="H944">
        <f t="shared" si="87"/>
        <v>0</v>
      </c>
      <c r="I944">
        <f t="shared" si="84"/>
        <v>0</v>
      </c>
      <c r="J944">
        <f t="shared" si="85"/>
        <v>0</v>
      </c>
      <c r="K944">
        <f t="shared" si="86"/>
        <v>0</v>
      </c>
      <c r="L944">
        <f t="shared" si="88"/>
        <v>0</v>
      </c>
      <c r="M944">
        <f t="shared" si="89"/>
        <v>0</v>
      </c>
    </row>
    <row r="945" spans="8:13" x14ac:dyDescent="0.25">
      <c r="H945">
        <f t="shared" si="87"/>
        <v>0</v>
      </c>
      <c r="I945">
        <f t="shared" si="84"/>
        <v>0</v>
      </c>
      <c r="J945">
        <f t="shared" si="85"/>
        <v>0</v>
      </c>
      <c r="K945">
        <f t="shared" si="86"/>
        <v>0</v>
      </c>
      <c r="L945">
        <f t="shared" si="88"/>
        <v>0</v>
      </c>
      <c r="M945">
        <f t="shared" si="89"/>
        <v>0</v>
      </c>
    </row>
    <row r="946" spans="8:13" x14ac:dyDescent="0.25">
      <c r="H946">
        <f t="shared" si="87"/>
        <v>0</v>
      </c>
      <c r="I946">
        <f t="shared" si="84"/>
        <v>0</v>
      </c>
      <c r="J946">
        <f t="shared" si="85"/>
        <v>0</v>
      </c>
      <c r="K946">
        <f t="shared" si="86"/>
        <v>0</v>
      </c>
      <c r="L946">
        <f t="shared" si="88"/>
        <v>0</v>
      </c>
      <c r="M946">
        <f t="shared" si="89"/>
        <v>0</v>
      </c>
    </row>
    <row r="947" spans="8:13" x14ac:dyDescent="0.25">
      <c r="H947">
        <f t="shared" si="87"/>
        <v>0</v>
      </c>
      <c r="I947">
        <f t="shared" si="84"/>
        <v>0</v>
      </c>
      <c r="J947">
        <f t="shared" si="85"/>
        <v>0</v>
      </c>
      <c r="K947">
        <f t="shared" si="86"/>
        <v>0</v>
      </c>
      <c r="L947">
        <f t="shared" si="88"/>
        <v>0</v>
      </c>
      <c r="M947">
        <f t="shared" si="89"/>
        <v>0</v>
      </c>
    </row>
    <row r="948" spans="8:13" x14ac:dyDescent="0.25">
      <c r="H948">
        <f t="shared" si="87"/>
        <v>0</v>
      </c>
      <c r="I948">
        <f t="shared" si="84"/>
        <v>0</v>
      </c>
      <c r="J948">
        <f t="shared" si="85"/>
        <v>0</v>
      </c>
      <c r="K948">
        <f t="shared" si="86"/>
        <v>0</v>
      </c>
      <c r="L948">
        <f t="shared" si="88"/>
        <v>0</v>
      </c>
      <c r="M948">
        <f t="shared" si="89"/>
        <v>0</v>
      </c>
    </row>
    <row r="949" spans="8:13" x14ac:dyDescent="0.25">
      <c r="H949">
        <f t="shared" si="87"/>
        <v>0</v>
      </c>
      <c r="I949">
        <f t="shared" si="84"/>
        <v>0</v>
      </c>
      <c r="J949">
        <f t="shared" si="85"/>
        <v>0</v>
      </c>
      <c r="K949">
        <f t="shared" si="86"/>
        <v>0</v>
      </c>
      <c r="L949">
        <f t="shared" si="88"/>
        <v>0</v>
      </c>
      <c r="M949">
        <f t="shared" si="89"/>
        <v>0</v>
      </c>
    </row>
    <row r="950" spans="8:13" x14ac:dyDescent="0.25">
      <c r="H950">
        <f t="shared" si="87"/>
        <v>0</v>
      </c>
      <c r="I950">
        <f t="shared" si="84"/>
        <v>0</v>
      </c>
      <c r="J950">
        <f t="shared" si="85"/>
        <v>0</v>
      </c>
      <c r="K950">
        <f t="shared" si="86"/>
        <v>0</v>
      </c>
      <c r="L950">
        <f t="shared" si="88"/>
        <v>0</v>
      </c>
      <c r="M950">
        <f t="shared" si="89"/>
        <v>0</v>
      </c>
    </row>
    <row r="951" spans="8:13" x14ac:dyDescent="0.25">
      <c r="H951">
        <f t="shared" si="87"/>
        <v>0</v>
      </c>
      <c r="I951">
        <f t="shared" si="84"/>
        <v>0</v>
      </c>
      <c r="J951">
        <f t="shared" si="85"/>
        <v>0</v>
      </c>
      <c r="K951">
        <f t="shared" si="86"/>
        <v>0</v>
      </c>
      <c r="L951">
        <f t="shared" si="88"/>
        <v>0</v>
      </c>
      <c r="M951">
        <f t="shared" si="89"/>
        <v>0</v>
      </c>
    </row>
    <row r="952" spans="8:13" x14ac:dyDescent="0.25">
      <c r="H952">
        <f t="shared" si="87"/>
        <v>0</v>
      </c>
      <c r="I952">
        <f t="shared" si="84"/>
        <v>0</v>
      </c>
      <c r="J952">
        <f t="shared" si="85"/>
        <v>0</v>
      </c>
      <c r="K952">
        <f t="shared" si="86"/>
        <v>0</v>
      </c>
      <c r="L952">
        <f t="shared" si="88"/>
        <v>0</v>
      </c>
      <c r="M952">
        <f t="shared" si="89"/>
        <v>0</v>
      </c>
    </row>
    <row r="953" spans="8:13" x14ac:dyDescent="0.25">
      <c r="H953">
        <f t="shared" si="87"/>
        <v>0</v>
      </c>
      <c r="I953">
        <f t="shared" si="84"/>
        <v>0</v>
      </c>
      <c r="J953">
        <f t="shared" si="85"/>
        <v>0</v>
      </c>
      <c r="K953">
        <f t="shared" si="86"/>
        <v>0</v>
      </c>
      <c r="L953">
        <f t="shared" si="88"/>
        <v>0</v>
      </c>
      <c r="M953">
        <f t="shared" si="89"/>
        <v>0</v>
      </c>
    </row>
    <row r="954" spans="8:13" x14ac:dyDescent="0.25">
      <c r="H954">
        <f t="shared" si="87"/>
        <v>0</v>
      </c>
      <c r="I954">
        <f t="shared" si="84"/>
        <v>0</v>
      </c>
      <c r="J954">
        <f t="shared" si="85"/>
        <v>0</v>
      </c>
      <c r="K954">
        <f t="shared" si="86"/>
        <v>0</v>
      </c>
      <c r="L954">
        <f t="shared" si="88"/>
        <v>0</v>
      </c>
      <c r="M954">
        <f t="shared" si="89"/>
        <v>0</v>
      </c>
    </row>
    <row r="955" spans="8:13" x14ac:dyDescent="0.25">
      <c r="H955">
        <f t="shared" si="87"/>
        <v>0</v>
      </c>
      <c r="I955">
        <f t="shared" si="84"/>
        <v>0</v>
      </c>
      <c r="J955">
        <f t="shared" si="85"/>
        <v>0</v>
      </c>
      <c r="K955">
        <f t="shared" si="86"/>
        <v>0</v>
      </c>
      <c r="L955">
        <f t="shared" si="88"/>
        <v>0</v>
      </c>
      <c r="M955">
        <f t="shared" si="89"/>
        <v>0</v>
      </c>
    </row>
    <row r="956" spans="8:13" x14ac:dyDescent="0.25">
      <c r="H956">
        <f t="shared" si="87"/>
        <v>0</v>
      </c>
      <c r="I956">
        <f t="shared" si="84"/>
        <v>0</v>
      </c>
      <c r="J956">
        <f t="shared" si="85"/>
        <v>0</v>
      </c>
      <c r="K956">
        <f t="shared" si="86"/>
        <v>0</v>
      </c>
      <c r="L956">
        <f t="shared" si="88"/>
        <v>0</v>
      </c>
      <c r="M956">
        <f t="shared" si="89"/>
        <v>0</v>
      </c>
    </row>
    <row r="957" spans="8:13" x14ac:dyDescent="0.25">
      <c r="H957">
        <f t="shared" si="87"/>
        <v>0</v>
      </c>
      <c r="I957">
        <f t="shared" si="84"/>
        <v>0</v>
      </c>
      <c r="J957">
        <f t="shared" si="85"/>
        <v>0</v>
      </c>
      <c r="K957">
        <f t="shared" si="86"/>
        <v>0</v>
      </c>
      <c r="L957">
        <f t="shared" si="88"/>
        <v>0</v>
      </c>
      <c r="M957">
        <f t="shared" si="89"/>
        <v>0</v>
      </c>
    </row>
    <row r="958" spans="8:13" x14ac:dyDescent="0.25">
      <c r="H958">
        <f t="shared" si="87"/>
        <v>0</v>
      </c>
      <c r="I958">
        <f t="shared" si="84"/>
        <v>0</v>
      </c>
      <c r="J958">
        <f t="shared" si="85"/>
        <v>0</v>
      </c>
      <c r="K958">
        <f t="shared" si="86"/>
        <v>0</v>
      </c>
      <c r="L958">
        <f t="shared" si="88"/>
        <v>0</v>
      </c>
      <c r="M958">
        <f t="shared" si="89"/>
        <v>0</v>
      </c>
    </row>
    <row r="959" spans="8:13" x14ac:dyDescent="0.25">
      <c r="H959">
        <f t="shared" si="87"/>
        <v>0</v>
      </c>
      <c r="I959">
        <f t="shared" si="84"/>
        <v>0</v>
      </c>
      <c r="J959">
        <f t="shared" si="85"/>
        <v>0</v>
      </c>
      <c r="K959">
        <f t="shared" si="86"/>
        <v>0</v>
      </c>
      <c r="L959">
        <f t="shared" si="88"/>
        <v>0</v>
      </c>
      <c r="M959">
        <f t="shared" si="89"/>
        <v>0</v>
      </c>
    </row>
    <row r="960" spans="8:13" x14ac:dyDescent="0.25">
      <c r="H960">
        <f t="shared" si="87"/>
        <v>0</v>
      </c>
      <c r="I960">
        <f t="shared" si="84"/>
        <v>0</v>
      </c>
      <c r="J960">
        <f t="shared" si="85"/>
        <v>0</v>
      </c>
      <c r="K960">
        <f t="shared" si="86"/>
        <v>0</v>
      </c>
      <c r="L960">
        <f t="shared" si="88"/>
        <v>0</v>
      </c>
      <c r="M960">
        <f t="shared" si="89"/>
        <v>0</v>
      </c>
    </row>
    <row r="961" spans="8:13" x14ac:dyDescent="0.25">
      <c r="H961">
        <f t="shared" si="87"/>
        <v>0</v>
      </c>
      <c r="I961">
        <f t="shared" si="84"/>
        <v>0</v>
      </c>
      <c r="J961">
        <f t="shared" si="85"/>
        <v>0</v>
      </c>
      <c r="K961">
        <f t="shared" si="86"/>
        <v>0</v>
      </c>
      <c r="L961">
        <f t="shared" si="88"/>
        <v>0</v>
      </c>
      <c r="M961">
        <f t="shared" si="89"/>
        <v>0</v>
      </c>
    </row>
    <row r="962" spans="8:13" x14ac:dyDescent="0.25">
      <c r="H962">
        <f t="shared" si="87"/>
        <v>0</v>
      </c>
      <c r="I962">
        <f t="shared" ref="I962:I1000" si="90">C962*$I$1</f>
        <v>0</v>
      </c>
      <c r="J962">
        <f t="shared" ref="J962:J1000" si="91">D962*$J$1</f>
        <v>0</v>
      </c>
      <c r="K962">
        <f t="shared" ref="K962:K1000" si="92">E962*$K$1</f>
        <v>0</v>
      </c>
      <c r="L962">
        <f t="shared" si="88"/>
        <v>0</v>
      </c>
      <c r="M962">
        <f t="shared" si="89"/>
        <v>0</v>
      </c>
    </row>
    <row r="963" spans="8:13" x14ac:dyDescent="0.25">
      <c r="H963">
        <f t="shared" ref="H963:H1000" si="93">B963*$H$1</f>
        <v>0</v>
      </c>
      <c r="I963">
        <f t="shared" si="90"/>
        <v>0</v>
      </c>
      <c r="J963">
        <f t="shared" si="91"/>
        <v>0</v>
      </c>
      <c r="K963">
        <f t="shared" si="92"/>
        <v>0</v>
      </c>
      <c r="L963">
        <f t="shared" ref="L963:L1000" si="94">F963*$L$1</f>
        <v>0</v>
      </c>
      <c r="M963">
        <f t="shared" ref="M963:M1000" si="95">SUM(H963:L963)</f>
        <v>0</v>
      </c>
    </row>
    <row r="964" spans="8:13" x14ac:dyDescent="0.25">
      <c r="H964">
        <f t="shared" si="93"/>
        <v>0</v>
      </c>
      <c r="I964">
        <f t="shared" si="90"/>
        <v>0</v>
      </c>
      <c r="J964">
        <f t="shared" si="91"/>
        <v>0</v>
      </c>
      <c r="K964">
        <f t="shared" si="92"/>
        <v>0</v>
      </c>
      <c r="L964">
        <f t="shared" si="94"/>
        <v>0</v>
      </c>
      <c r="M964">
        <f t="shared" si="95"/>
        <v>0</v>
      </c>
    </row>
    <row r="965" spans="8:13" x14ac:dyDescent="0.25">
      <c r="H965">
        <f t="shared" si="93"/>
        <v>0</v>
      </c>
      <c r="I965">
        <f t="shared" si="90"/>
        <v>0</v>
      </c>
      <c r="J965">
        <f t="shared" si="91"/>
        <v>0</v>
      </c>
      <c r="K965">
        <f t="shared" si="92"/>
        <v>0</v>
      </c>
      <c r="L965">
        <f t="shared" si="94"/>
        <v>0</v>
      </c>
      <c r="M965">
        <f t="shared" si="95"/>
        <v>0</v>
      </c>
    </row>
    <row r="966" spans="8:13" x14ac:dyDescent="0.25">
      <c r="H966">
        <f t="shared" si="93"/>
        <v>0</v>
      </c>
      <c r="I966">
        <f t="shared" si="90"/>
        <v>0</v>
      </c>
      <c r="J966">
        <f t="shared" si="91"/>
        <v>0</v>
      </c>
      <c r="K966">
        <f t="shared" si="92"/>
        <v>0</v>
      </c>
      <c r="L966">
        <f t="shared" si="94"/>
        <v>0</v>
      </c>
      <c r="M966">
        <f t="shared" si="95"/>
        <v>0</v>
      </c>
    </row>
    <row r="967" spans="8:13" x14ac:dyDescent="0.25">
      <c r="H967">
        <f t="shared" si="93"/>
        <v>0</v>
      </c>
      <c r="I967">
        <f t="shared" si="90"/>
        <v>0</v>
      </c>
      <c r="J967">
        <f t="shared" si="91"/>
        <v>0</v>
      </c>
      <c r="K967">
        <f t="shared" si="92"/>
        <v>0</v>
      </c>
      <c r="L967">
        <f t="shared" si="94"/>
        <v>0</v>
      </c>
      <c r="M967">
        <f t="shared" si="95"/>
        <v>0</v>
      </c>
    </row>
    <row r="968" spans="8:13" x14ac:dyDescent="0.25">
      <c r="H968">
        <f t="shared" si="93"/>
        <v>0</v>
      </c>
      <c r="I968">
        <f t="shared" si="90"/>
        <v>0</v>
      </c>
      <c r="J968">
        <f t="shared" si="91"/>
        <v>0</v>
      </c>
      <c r="K968">
        <f t="shared" si="92"/>
        <v>0</v>
      </c>
      <c r="L968">
        <f t="shared" si="94"/>
        <v>0</v>
      </c>
      <c r="M968">
        <f t="shared" si="95"/>
        <v>0</v>
      </c>
    </row>
    <row r="969" spans="8:13" x14ac:dyDescent="0.25">
      <c r="H969">
        <f t="shared" si="93"/>
        <v>0</v>
      </c>
      <c r="I969">
        <f t="shared" si="90"/>
        <v>0</v>
      </c>
      <c r="J969">
        <f t="shared" si="91"/>
        <v>0</v>
      </c>
      <c r="K969">
        <f t="shared" si="92"/>
        <v>0</v>
      </c>
      <c r="L969">
        <f t="shared" si="94"/>
        <v>0</v>
      </c>
      <c r="M969">
        <f t="shared" si="95"/>
        <v>0</v>
      </c>
    </row>
    <row r="970" spans="8:13" x14ac:dyDescent="0.25">
      <c r="H970">
        <f t="shared" si="93"/>
        <v>0</v>
      </c>
      <c r="I970">
        <f t="shared" si="90"/>
        <v>0</v>
      </c>
      <c r="J970">
        <f t="shared" si="91"/>
        <v>0</v>
      </c>
      <c r="K970">
        <f t="shared" si="92"/>
        <v>0</v>
      </c>
      <c r="L970">
        <f t="shared" si="94"/>
        <v>0</v>
      </c>
      <c r="M970">
        <f t="shared" si="95"/>
        <v>0</v>
      </c>
    </row>
    <row r="971" spans="8:13" x14ac:dyDescent="0.25">
      <c r="H971">
        <f t="shared" si="93"/>
        <v>0</v>
      </c>
      <c r="I971">
        <f t="shared" si="90"/>
        <v>0</v>
      </c>
      <c r="J971">
        <f t="shared" si="91"/>
        <v>0</v>
      </c>
      <c r="K971">
        <f t="shared" si="92"/>
        <v>0</v>
      </c>
      <c r="L971">
        <f t="shared" si="94"/>
        <v>0</v>
      </c>
      <c r="M971">
        <f t="shared" si="95"/>
        <v>0</v>
      </c>
    </row>
    <row r="972" spans="8:13" x14ac:dyDescent="0.25">
      <c r="H972">
        <f t="shared" si="93"/>
        <v>0</v>
      </c>
      <c r="I972">
        <f t="shared" si="90"/>
        <v>0</v>
      </c>
      <c r="J972">
        <f t="shared" si="91"/>
        <v>0</v>
      </c>
      <c r="K972">
        <f t="shared" si="92"/>
        <v>0</v>
      </c>
      <c r="L972">
        <f t="shared" si="94"/>
        <v>0</v>
      </c>
      <c r="M972">
        <f t="shared" si="95"/>
        <v>0</v>
      </c>
    </row>
    <row r="973" spans="8:13" x14ac:dyDescent="0.25">
      <c r="H973">
        <f t="shared" si="93"/>
        <v>0</v>
      </c>
      <c r="I973">
        <f t="shared" si="90"/>
        <v>0</v>
      </c>
      <c r="J973">
        <f t="shared" si="91"/>
        <v>0</v>
      </c>
      <c r="K973">
        <f t="shared" si="92"/>
        <v>0</v>
      </c>
      <c r="L973">
        <f t="shared" si="94"/>
        <v>0</v>
      </c>
      <c r="M973">
        <f t="shared" si="95"/>
        <v>0</v>
      </c>
    </row>
    <row r="974" spans="8:13" x14ac:dyDescent="0.25">
      <c r="H974">
        <f t="shared" si="93"/>
        <v>0</v>
      </c>
      <c r="I974">
        <f t="shared" si="90"/>
        <v>0</v>
      </c>
      <c r="J974">
        <f t="shared" si="91"/>
        <v>0</v>
      </c>
      <c r="K974">
        <f t="shared" si="92"/>
        <v>0</v>
      </c>
      <c r="L974">
        <f t="shared" si="94"/>
        <v>0</v>
      </c>
      <c r="M974">
        <f t="shared" si="95"/>
        <v>0</v>
      </c>
    </row>
    <row r="975" spans="8:13" x14ac:dyDescent="0.25">
      <c r="H975">
        <f t="shared" si="93"/>
        <v>0</v>
      </c>
      <c r="I975">
        <f t="shared" si="90"/>
        <v>0</v>
      </c>
      <c r="J975">
        <f t="shared" si="91"/>
        <v>0</v>
      </c>
      <c r="K975">
        <f t="shared" si="92"/>
        <v>0</v>
      </c>
      <c r="L975">
        <f t="shared" si="94"/>
        <v>0</v>
      </c>
      <c r="M975">
        <f t="shared" si="95"/>
        <v>0</v>
      </c>
    </row>
    <row r="976" spans="8:13" x14ac:dyDescent="0.25">
      <c r="H976">
        <f t="shared" si="93"/>
        <v>0</v>
      </c>
      <c r="I976">
        <f t="shared" si="90"/>
        <v>0</v>
      </c>
      <c r="J976">
        <f t="shared" si="91"/>
        <v>0</v>
      </c>
      <c r="K976">
        <f t="shared" si="92"/>
        <v>0</v>
      </c>
      <c r="L976">
        <f t="shared" si="94"/>
        <v>0</v>
      </c>
      <c r="M976">
        <f t="shared" si="95"/>
        <v>0</v>
      </c>
    </row>
    <row r="977" spans="8:13" x14ac:dyDescent="0.25">
      <c r="H977">
        <f t="shared" si="93"/>
        <v>0</v>
      </c>
      <c r="I977">
        <f t="shared" si="90"/>
        <v>0</v>
      </c>
      <c r="J977">
        <f t="shared" si="91"/>
        <v>0</v>
      </c>
      <c r="K977">
        <f t="shared" si="92"/>
        <v>0</v>
      </c>
      <c r="L977">
        <f t="shared" si="94"/>
        <v>0</v>
      </c>
      <c r="M977">
        <f t="shared" si="95"/>
        <v>0</v>
      </c>
    </row>
    <row r="978" spans="8:13" x14ac:dyDescent="0.25">
      <c r="H978">
        <f t="shared" si="93"/>
        <v>0</v>
      </c>
      <c r="I978">
        <f t="shared" si="90"/>
        <v>0</v>
      </c>
      <c r="J978">
        <f t="shared" si="91"/>
        <v>0</v>
      </c>
      <c r="K978">
        <f t="shared" si="92"/>
        <v>0</v>
      </c>
      <c r="L978">
        <f t="shared" si="94"/>
        <v>0</v>
      </c>
      <c r="M978">
        <f t="shared" si="95"/>
        <v>0</v>
      </c>
    </row>
    <row r="979" spans="8:13" x14ac:dyDescent="0.25">
      <c r="H979">
        <f t="shared" si="93"/>
        <v>0</v>
      </c>
      <c r="I979">
        <f t="shared" si="90"/>
        <v>0</v>
      </c>
      <c r="J979">
        <f t="shared" si="91"/>
        <v>0</v>
      </c>
      <c r="K979">
        <f t="shared" si="92"/>
        <v>0</v>
      </c>
      <c r="L979">
        <f t="shared" si="94"/>
        <v>0</v>
      </c>
      <c r="M979">
        <f t="shared" si="95"/>
        <v>0</v>
      </c>
    </row>
    <row r="980" spans="8:13" x14ac:dyDescent="0.25">
      <c r="H980">
        <f t="shared" si="93"/>
        <v>0</v>
      </c>
      <c r="I980">
        <f t="shared" si="90"/>
        <v>0</v>
      </c>
      <c r="J980">
        <f t="shared" si="91"/>
        <v>0</v>
      </c>
      <c r="K980">
        <f t="shared" si="92"/>
        <v>0</v>
      </c>
      <c r="L980">
        <f t="shared" si="94"/>
        <v>0</v>
      </c>
      <c r="M980">
        <f t="shared" si="95"/>
        <v>0</v>
      </c>
    </row>
    <row r="981" spans="8:13" x14ac:dyDescent="0.25">
      <c r="H981">
        <f t="shared" si="93"/>
        <v>0</v>
      </c>
      <c r="I981">
        <f t="shared" si="90"/>
        <v>0</v>
      </c>
      <c r="J981">
        <f t="shared" si="91"/>
        <v>0</v>
      </c>
      <c r="K981">
        <f t="shared" si="92"/>
        <v>0</v>
      </c>
      <c r="L981">
        <f t="shared" si="94"/>
        <v>0</v>
      </c>
      <c r="M981">
        <f t="shared" si="95"/>
        <v>0</v>
      </c>
    </row>
    <row r="982" spans="8:13" x14ac:dyDescent="0.25">
      <c r="H982">
        <f t="shared" si="93"/>
        <v>0</v>
      </c>
      <c r="I982">
        <f t="shared" si="90"/>
        <v>0</v>
      </c>
      <c r="J982">
        <f t="shared" si="91"/>
        <v>0</v>
      </c>
      <c r="K982">
        <f t="shared" si="92"/>
        <v>0</v>
      </c>
      <c r="L982">
        <f t="shared" si="94"/>
        <v>0</v>
      </c>
      <c r="M982">
        <f t="shared" si="95"/>
        <v>0</v>
      </c>
    </row>
    <row r="983" spans="8:13" x14ac:dyDescent="0.25">
      <c r="H983">
        <f t="shared" si="93"/>
        <v>0</v>
      </c>
      <c r="I983">
        <f t="shared" si="90"/>
        <v>0</v>
      </c>
      <c r="J983">
        <f t="shared" si="91"/>
        <v>0</v>
      </c>
      <c r="K983">
        <f t="shared" si="92"/>
        <v>0</v>
      </c>
      <c r="L983">
        <f t="shared" si="94"/>
        <v>0</v>
      </c>
      <c r="M983">
        <f t="shared" si="95"/>
        <v>0</v>
      </c>
    </row>
    <row r="984" spans="8:13" x14ac:dyDescent="0.25">
      <c r="H984">
        <f t="shared" si="93"/>
        <v>0</v>
      </c>
      <c r="I984">
        <f t="shared" si="90"/>
        <v>0</v>
      </c>
      <c r="J984">
        <f t="shared" si="91"/>
        <v>0</v>
      </c>
      <c r="K984">
        <f t="shared" si="92"/>
        <v>0</v>
      </c>
      <c r="L984">
        <f t="shared" si="94"/>
        <v>0</v>
      </c>
      <c r="M984">
        <f t="shared" si="95"/>
        <v>0</v>
      </c>
    </row>
    <row r="985" spans="8:13" x14ac:dyDescent="0.25">
      <c r="H985">
        <f t="shared" si="93"/>
        <v>0</v>
      </c>
      <c r="I985">
        <f t="shared" si="90"/>
        <v>0</v>
      </c>
      <c r="J985">
        <f t="shared" si="91"/>
        <v>0</v>
      </c>
      <c r="K985">
        <f t="shared" si="92"/>
        <v>0</v>
      </c>
      <c r="L985">
        <f t="shared" si="94"/>
        <v>0</v>
      </c>
      <c r="M985">
        <f t="shared" si="95"/>
        <v>0</v>
      </c>
    </row>
    <row r="986" spans="8:13" x14ac:dyDescent="0.25">
      <c r="H986">
        <f t="shared" si="93"/>
        <v>0</v>
      </c>
      <c r="I986">
        <f t="shared" si="90"/>
        <v>0</v>
      </c>
      <c r="J986">
        <f t="shared" si="91"/>
        <v>0</v>
      </c>
      <c r="K986">
        <f t="shared" si="92"/>
        <v>0</v>
      </c>
      <c r="L986">
        <f t="shared" si="94"/>
        <v>0</v>
      </c>
      <c r="M986">
        <f t="shared" si="95"/>
        <v>0</v>
      </c>
    </row>
    <row r="987" spans="8:13" x14ac:dyDescent="0.25">
      <c r="H987">
        <f t="shared" si="93"/>
        <v>0</v>
      </c>
      <c r="I987">
        <f t="shared" si="90"/>
        <v>0</v>
      </c>
      <c r="J987">
        <f t="shared" si="91"/>
        <v>0</v>
      </c>
      <c r="K987">
        <f t="shared" si="92"/>
        <v>0</v>
      </c>
      <c r="L987">
        <f t="shared" si="94"/>
        <v>0</v>
      </c>
      <c r="M987">
        <f t="shared" si="95"/>
        <v>0</v>
      </c>
    </row>
    <row r="988" spans="8:13" x14ac:dyDescent="0.25">
      <c r="H988">
        <f t="shared" si="93"/>
        <v>0</v>
      </c>
      <c r="I988">
        <f t="shared" si="90"/>
        <v>0</v>
      </c>
      <c r="J988">
        <f t="shared" si="91"/>
        <v>0</v>
      </c>
      <c r="K988">
        <f t="shared" si="92"/>
        <v>0</v>
      </c>
      <c r="L988">
        <f t="shared" si="94"/>
        <v>0</v>
      </c>
      <c r="M988">
        <f t="shared" si="95"/>
        <v>0</v>
      </c>
    </row>
    <row r="989" spans="8:13" x14ac:dyDescent="0.25">
      <c r="H989">
        <f t="shared" si="93"/>
        <v>0</v>
      </c>
      <c r="I989">
        <f t="shared" si="90"/>
        <v>0</v>
      </c>
      <c r="J989">
        <f t="shared" si="91"/>
        <v>0</v>
      </c>
      <c r="K989">
        <f t="shared" si="92"/>
        <v>0</v>
      </c>
      <c r="L989">
        <f t="shared" si="94"/>
        <v>0</v>
      </c>
      <c r="M989">
        <f t="shared" si="95"/>
        <v>0</v>
      </c>
    </row>
    <row r="990" spans="8:13" x14ac:dyDescent="0.25">
      <c r="H990">
        <f t="shared" si="93"/>
        <v>0</v>
      </c>
      <c r="I990">
        <f t="shared" si="90"/>
        <v>0</v>
      </c>
      <c r="J990">
        <f t="shared" si="91"/>
        <v>0</v>
      </c>
      <c r="K990">
        <f t="shared" si="92"/>
        <v>0</v>
      </c>
      <c r="L990">
        <f t="shared" si="94"/>
        <v>0</v>
      </c>
      <c r="M990">
        <f t="shared" si="95"/>
        <v>0</v>
      </c>
    </row>
    <row r="991" spans="8:13" x14ac:dyDescent="0.25">
      <c r="H991">
        <f t="shared" si="93"/>
        <v>0</v>
      </c>
      <c r="I991">
        <f t="shared" si="90"/>
        <v>0</v>
      </c>
      <c r="J991">
        <f t="shared" si="91"/>
        <v>0</v>
      </c>
      <c r="K991">
        <f t="shared" si="92"/>
        <v>0</v>
      </c>
      <c r="L991">
        <f t="shared" si="94"/>
        <v>0</v>
      </c>
      <c r="M991">
        <f t="shared" si="95"/>
        <v>0</v>
      </c>
    </row>
    <row r="992" spans="8:13" x14ac:dyDescent="0.25">
      <c r="H992">
        <f t="shared" si="93"/>
        <v>0</v>
      </c>
      <c r="I992">
        <f t="shared" si="90"/>
        <v>0</v>
      </c>
      <c r="J992">
        <f t="shared" si="91"/>
        <v>0</v>
      </c>
      <c r="K992">
        <f t="shared" si="92"/>
        <v>0</v>
      </c>
      <c r="L992">
        <f t="shared" si="94"/>
        <v>0</v>
      </c>
      <c r="M992">
        <f t="shared" si="95"/>
        <v>0</v>
      </c>
    </row>
    <row r="993" spans="8:13" x14ac:dyDescent="0.25">
      <c r="H993">
        <f t="shared" si="93"/>
        <v>0</v>
      </c>
      <c r="I993">
        <f t="shared" si="90"/>
        <v>0</v>
      </c>
      <c r="J993">
        <f t="shared" si="91"/>
        <v>0</v>
      </c>
      <c r="K993">
        <f t="shared" si="92"/>
        <v>0</v>
      </c>
      <c r="L993">
        <f t="shared" si="94"/>
        <v>0</v>
      </c>
      <c r="M993">
        <f t="shared" si="95"/>
        <v>0</v>
      </c>
    </row>
    <row r="994" spans="8:13" x14ac:dyDescent="0.25">
      <c r="H994">
        <f t="shared" si="93"/>
        <v>0</v>
      </c>
      <c r="I994">
        <f t="shared" si="90"/>
        <v>0</v>
      </c>
      <c r="J994">
        <f t="shared" si="91"/>
        <v>0</v>
      </c>
      <c r="K994">
        <f t="shared" si="92"/>
        <v>0</v>
      </c>
      <c r="L994">
        <f t="shared" si="94"/>
        <v>0</v>
      </c>
      <c r="M994">
        <f t="shared" si="95"/>
        <v>0</v>
      </c>
    </row>
    <row r="995" spans="8:13" x14ac:dyDescent="0.25">
      <c r="H995">
        <f t="shared" si="93"/>
        <v>0</v>
      </c>
      <c r="I995">
        <f t="shared" si="90"/>
        <v>0</v>
      </c>
      <c r="J995">
        <f t="shared" si="91"/>
        <v>0</v>
      </c>
      <c r="K995">
        <f t="shared" si="92"/>
        <v>0</v>
      </c>
      <c r="L995">
        <f t="shared" si="94"/>
        <v>0</v>
      </c>
      <c r="M995">
        <f t="shared" si="95"/>
        <v>0</v>
      </c>
    </row>
    <row r="996" spans="8:13" x14ac:dyDescent="0.25">
      <c r="H996">
        <f t="shared" si="93"/>
        <v>0</v>
      </c>
      <c r="I996">
        <f t="shared" si="90"/>
        <v>0</v>
      </c>
      <c r="J996">
        <f t="shared" si="91"/>
        <v>0</v>
      </c>
      <c r="K996">
        <f t="shared" si="92"/>
        <v>0</v>
      </c>
      <c r="L996">
        <f t="shared" si="94"/>
        <v>0</v>
      </c>
      <c r="M996">
        <f t="shared" si="95"/>
        <v>0</v>
      </c>
    </row>
    <row r="997" spans="8:13" x14ac:dyDescent="0.25">
      <c r="H997">
        <f t="shared" si="93"/>
        <v>0</v>
      </c>
      <c r="I997">
        <f t="shared" si="90"/>
        <v>0</v>
      </c>
      <c r="J997">
        <f t="shared" si="91"/>
        <v>0</v>
      </c>
      <c r="K997">
        <f t="shared" si="92"/>
        <v>0</v>
      </c>
      <c r="L997">
        <f t="shared" si="94"/>
        <v>0</v>
      </c>
      <c r="M997">
        <f t="shared" si="95"/>
        <v>0</v>
      </c>
    </row>
    <row r="998" spans="8:13" x14ac:dyDescent="0.25">
      <c r="H998">
        <f t="shared" si="93"/>
        <v>0</v>
      </c>
      <c r="I998">
        <f t="shared" si="90"/>
        <v>0</v>
      </c>
      <c r="J998">
        <f t="shared" si="91"/>
        <v>0</v>
      </c>
      <c r="K998">
        <f t="shared" si="92"/>
        <v>0</v>
      </c>
      <c r="L998">
        <f t="shared" si="94"/>
        <v>0</v>
      </c>
      <c r="M998">
        <f t="shared" si="95"/>
        <v>0</v>
      </c>
    </row>
    <row r="999" spans="8:13" x14ac:dyDescent="0.25">
      <c r="H999">
        <f t="shared" si="93"/>
        <v>0</v>
      </c>
      <c r="I999">
        <f t="shared" si="90"/>
        <v>0</v>
      </c>
      <c r="J999">
        <f t="shared" si="91"/>
        <v>0</v>
      </c>
      <c r="K999">
        <f t="shared" si="92"/>
        <v>0</v>
      </c>
      <c r="L999">
        <f t="shared" si="94"/>
        <v>0</v>
      </c>
      <c r="M999">
        <f t="shared" si="95"/>
        <v>0</v>
      </c>
    </row>
    <row r="1000" spans="8:13" x14ac:dyDescent="0.25">
      <c r="H1000">
        <f t="shared" si="93"/>
        <v>0</v>
      </c>
      <c r="I1000">
        <f t="shared" si="90"/>
        <v>0</v>
      </c>
      <c r="J1000">
        <f t="shared" si="91"/>
        <v>0</v>
      </c>
      <c r="K1000">
        <f t="shared" si="92"/>
        <v>0</v>
      </c>
      <c r="L1000">
        <f t="shared" si="94"/>
        <v>0</v>
      </c>
      <c r="M1000">
        <f t="shared" si="95"/>
        <v>0</v>
      </c>
    </row>
  </sheetData>
  <sortState xmlns:xlrd2="http://schemas.microsoft.com/office/spreadsheetml/2017/richdata2" ref="A2:F225">
    <sortCondition ref="A1:A2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9A5F-A1DB-4209-8098-C068E799B12B}">
  <sheetPr codeName="Sheet3"/>
  <dimension ref="A1:F365"/>
  <sheetViews>
    <sheetView zoomScale="115" zoomScaleNormal="115" workbookViewId="0">
      <selection activeCell="D2" sqref="D2:E169"/>
    </sheetView>
  </sheetViews>
  <sheetFormatPr defaultRowHeight="15" x14ac:dyDescent="0.25"/>
  <sheetData>
    <row r="1" spans="1:5" x14ac:dyDescent="0.25">
      <c r="A1" s="3" t="s">
        <v>0</v>
      </c>
      <c r="B1" s="3" t="s">
        <v>32</v>
      </c>
      <c r="D1" s="3" t="s">
        <v>0</v>
      </c>
      <c r="E1" s="3" t="s">
        <v>32</v>
      </c>
    </row>
    <row r="2" spans="1:5" x14ac:dyDescent="0.25">
      <c r="A2">
        <f>'Skor Bobot'!$A$2:$A$1000</f>
        <v>0</v>
      </c>
      <c r="B2">
        <f>'Skor Bobot'!$M$2:$M$1000</f>
        <v>0</v>
      </c>
    </row>
    <row r="3" spans="1:5" x14ac:dyDescent="0.25">
      <c r="A3">
        <f>'Skor Bobot'!$A$2:$A$1000</f>
        <v>0</v>
      </c>
      <c r="B3">
        <f>'Skor Bobot'!$M$2:$M$1000</f>
        <v>0</v>
      </c>
    </row>
    <row r="4" spans="1:5" x14ac:dyDescent="0.25">
      <c r="A4">
        <f>'Skor Bobot'!$A$2:$A$1000</f>
        <v>0</v>
      </c>
      <c r="B4">
        <f>'Skor Bobot'!$M$2:$M$1000</f>
        <v>0</v>
      </c>
    </row>
    <row r="5" spans="1:5" x14ac:dyDescent="0.25">
      <c r="A5">
        <f>'Skor Bobot'!$A$2:$A$1000</f>
        <v>0</v>
      </c>
      <c r="B5">
        <f>'Skor Bobot'!$M$2:$M$1000</f>
        <v>0</v>
      </c>
    </row>
    <row r="6" spans="1:5" x14ac:dyDescent="0.25">
      <c r="A6">
        <f>'Skor Bobot'!$A$2:$A$1000</f>
        <v>0</v>
      </c>
      <c r="B6">
        <f>'Skor Bobot'!$M$2:$M$1000</f>
        <v>0</v>
      </c>
    </row>
    <row r="7" spans="1:5" x14ac:dyDescent="0.25">
      <c r="A7">
        <f>'Skor Bobot'!$A$2:$A$1000</f>
        <v>0</v>
      </c>
      <c r="B7">
        <f>'Skor Bobot'!$M$2:$M$1000</f>
        <v>0</v>
      </c>
    </row>
    <row r="8" spans="1:5" x14ac:dyDescent="0.25">
      <c r="A8">
        <f>'Skor Bobot'!$A$2:$A$1000</f>
        <v>0</v>
      </c>
      <c r="B8">
        <f>'Skor Bobot'!$M$2:$M$1000</f>
        <v>0</v>
      </c>
    </row>
    <row r="9" spans="1:5" x14ac:dyDescent="0.25">
      <c r="A9">
        <f>'Skor Bobot'!$A$2:$A$1000</f>
        <v>0</v>
      </c>
      <c r="B9">
        <f>'Skor Bobot'!$M$2:$M$1000</f>
        <v>0</v>
      </c>
    </row>
    <row r="10" spans="1:5" x14ac:dyDescent="0.25">
      <c r="A10">
        <f>'Skor Bobot'!$A$2:$A$1000</f>
        <v>0</v>
      </c>
      <c r="B10">
        <f>'Skor Bobot'!$M$2:$M$1000</f>
        <v>0</v>
      </c>
    </row>
    <row r="11" spans="1:5" x14ac:dyDescent="0.25">
      <c r="A11">
        <f>'Skor Bobot'!$A$2:$A$1000</f>
        <v>0</v>
      </c>
      <c r="B11">
        <f>'Skor Bobot'!$M$2:$M$1000</f>
        <v>0</v>
      </c>
    </row>
    <row r="12" spans="1:5" x14ac:dyDescent="0.25">
      <c r="A12">
        <f>'Skor Bobot'!$A$2:$A$1000</f>
        <v>0</v>
      </c>
      <c r="B12">
        <f>'Skor Bobot'!$M$2:$M$1000</f>
        <v>0</v>
      </c>
    </row>
    <row r="13" spans="1:5" x14ac:dyDescent="0.25">
      <c r="A13">
        <f>'Skor Bobot'!$A$2:$A$1000</f>
        <v>0</v>
      </c>
      <c r="B13">
        <f>'Skor Bobot'!$M$2:$M$1000</f>
        <v>0</v>
      </c>
    </row>
    <row r="14" spans="1:5" x14ac:dyDescent="0.25">
      <c r="A14">
        <f>'Skor Bobot'!$A$2:$A$1000</f>
        <v>0</v>
      </c>
      <c r="B14">
        <f>'Skor Bobot'!$M$2:$M$1000</f>
        <v>0</v>
      </c>
    </row>
    <row r="15" spans="1:5" x14ac:dyDescent="0.25">
      <c r="A15">
        <f>'Skor Bobot'!$A$2:$A$1000</f>
        <v>0</v>
      </c>
      <c r="B15">
        <f>'Skor Bobot'!$M$2:$M$1000</f>
        <v>0</v>
      </c>
    </row>
    <row r="16" spans="1:5" x14ac:dyDescent="0.25">
      <c r="A16">
        <f>'Skor Bobot'!$A$2:$A$1000</f>
        <v>0</v>
      </c>
      <c r="B16">
        <f>'Skor Bobot'!$M$2:$M$1000</f>
        <v>0</v>
      </c>
    </row>
    <row r="17" spans="1:6" x14ac:dyDescent="0.25">
      <c r="A17">
        <f>'Skor Bobot'!$A$2:$A$1000</f>
        <v>0</v>
      </c>
      <c r="B17">
        <f>'Skor Bobot'!$M$2:$M$1000</f>
        <v>0</v>
      </c>
    </row>
    <row r="18" spans="1:6" x14ac:dyDescent="0.25">
      <c r="A18">
        <f>'Skor Bobot'!$A$2:$A$1000</f>
        <v>0</v>
      </c>
      <c r="B18">
        <f>'Skor Bobot'!$M$2:$M$1000</f>
        <v>0</v>
      </c>
      <c r="F18" s="3" t="s">
        <v>52</v>
      </c>
    </row>
    <row r="19" spans="1:6" x14ac:dyDescent="0.25">
      <c r="A19">
        <f>'Skor Bobot'!$A$2:$A$1000</f>
        <v>0</v>
      </c>
      <c r="B19">
        <f>'Skor Bobot'!$M$2:$M$1000</f>
        <v>0</v>
      </c>
    </row>
    <row r="20" spans="1:6" x14ac:dyDescent="0.25">
      <c r="A20">
        <f>'Skor Bobot'!$A$2:$A$1000</f>
        <v>0</v>
      </c>
      <c r="B20">
        <f>'Skor Bobot'!$M$2:$M$1000</f>
        <v>0</v>
      </c>
    </row>
    <row r="21" spans="1:6" x14ac:dyDescent="0.25">
      <c r="A21">
        <f>'Skor Bobot'!$A$2:$A$1000</f>
        <v>0</v>
      </c>
      <c r="B21">
        <f>'Skor Bobot'!$M$2:$M$1000</f>
        <v>0</v>
      </c>
    </row>
    <row r="22" spans="1:6" x14ac:dyDescent="0.25">
      <c r="A22">
        <f>'Skor Bobot'!$A$2:$A$1000</f>
        <v>0</v>
      </c>
      <c r="B22">
        <f>'Skor Bobot'!$M$2:$M$1000</f>
        <v>0</v>
      </c>
    </row>
    <row r="23" spans="1:6" x14ac:dyDescent="0.25">
      <c r="A23">
        <f>'Skor Bobot'!$A$2:$A$1000</f>
        <v>0</v>
      </c>
      <c r="B23">
        <f>'Skor Bobot'!$M$2:$M$1000</f>
        <v>0</v>
      </c>
    </row>
    <row r="24" spans="1:6" x14ac:dyDescent="0.25">
      <c r="A24">
        <f>'Skor Bobot'!$A$2:$A$1000</f>
        <v>0</v>
      </c>
      <c r="B24">
        <f>'Skor Bobot'!$M$2:$M$1000</f>
        <v>0</v>
      </c>
    </row>
    <row r="25" spans="1:6" x14ac:dyDescent="0.25">
      <c r="A25">
        <f>'Skor Bobot'!$A$2:$A$1000</f>
        <v>0</v>
      </c>
      <c r="B25">
        <f>'Skor Bobot'!$M$2:$M$1000</f>
        <v>0</v>
      </c>
    </row>
    <row r="26" spans="1:6" x14ac:dyDescent="0.25">
      <c r="A26">
        <f>'Skor Bobot'!$A$2:$A$1000</f>
        <v>0</v>
      </c>
      <c r="B26">
        <f>'Skor Bobot'!$M$2:$M$1000</f>
        <v>0</v>
      </c>
    </row>
    <row r="27" spans="1:6" x14ac:dyDescent="0.25">
      <c r="A27">
        <f>'Skor Bobot'!$A$2:$A$1000</f>
        <v>0</v>
      </c>
      <c r="B27">
        <f>'Skor Bobot'!$M$2:$M$1000</f>
        <v>0</v>
      </c>
    </row>
    <row r="28" spans="1:6" x14ac:dyDescent="0.25">
      <c r="A28">
        <f>'Skor Bobot'!$A$2:$A$1000</f>
        <v>0</v>
      </c>
      <c r="B28">
        <f>'Skor Bobot'!$M$2:$M$1000</f>
        <v>0</v>
      </c>
    </row>
    <row r="29" spans="1:6" x14ac:dyDescent="0.25">
      <c r="A29">
        <f>'Skor Bobot'!$A$2:$A$1000</f>
        <v>0</v>
      </c>
      <c r="B29">
        <f>'Skor Bobot'!$M$2:$M$1000</f>
        <v>0</v>
      </c>
    </row>
    <row r="30" spans="1:6" x14ac:dyDescent="0.25">
      <c r="A30">
        <f>'Skor Bobot'!$A$2:$A$1000</f>
        <v>0</v>
      </c>
      <c r="B30">
        <f>'Skor Bobot'!$M$2:$M$1000</f>
        <v>0</v>
      </c>
    </row>
    <row r="31" spans="1:6" x14ac:dyDescent="0.25">
      <c r="A31">
        <f>'Skor Bobot'!$A$2:$A$1000</f>
        <v>0</v>
      </c>
      <c r="B31">
        <f>'Skor Bobot'!$M$2:$M$1000</f>
        <v>0</v>
      </c>
    </row>
    <row r="32" spans="1:6" x14ac:dyDescent="0.25">
      <c r="A32">
        <f>'Skor Bobot'!$A$2:$A$1000</f>
        <v>0</v>
      </c>
      <c r="B32">
        <f>'Skor Bobot'!$M$2:$M$1000</f>
        <v>0</v>
      </c>
    </row>
    <row r="33" spans="1:2" x14ac:dyDescent="0.25">
      <c r="A33">
        <f>'Skor Bobot'!$A$2:$A$1000</f>
        <v>0</v>
      </c>
      <c r="B33">
        <f>'Skor Bobot'!$M$2:$M$1000</f>
        <v>0</v>
      </c>
    </row>
    <row r="34" spans="1:2" x14ac:dyDescent="0.25">
      <c r="A34">
        <f>'Skor Bobot'!$A$2:$A$1000</f>
        <v>0</v>
      </c>
      <c r="B34">
        <f>'Skor Bobot'!$M$2:$M$1000</f>
        <v>0</v>
      </c>
    </row>
    <row r="35" spans="1:2" x14ac:dyDescent="0.25">
      <c r="A35">
        <f>'Skor Bobot'!$A$2:$A$1000</f>
        <v>0</v>
      </c>
      <c r="B35">
        <f>'Skor Bobot'!$M$2:$M$1000</f>
        <v>0</v>
      </c>
    </row>
    <row r="36" spans="1:2" x14ac:dyDescent="0.25">
      <c r="A36">
        <f>'Skor Bobot'!$A$2:$A$1000</f>
        <v>0</v>
      </c>
      <c r="B36">
        <f>'Skor Bobot'!$M$2:$M$1000</f>
        <v>0</v>
      </c>
    </row>
    <row r="37" spans="1:2" x14ac:dyDescent="0.25">
      <c r="A37">
        <f>'Skor Bobot'!$A$2:$A$1000</f>
        <v>0</v>
      </c>
      <c r="B37">
        <f>'Skor Bobot'!$M$2:$M$1000</f>
        <v>0</v>
      </c>
    </row>
    <row r="38" spans="1:2" x14ac:dyDescent="0.25">
      <c r="A38">
        <f>'Skor Bobot'!$A$2:$A$1000</f>
        <v>0</v>
      </c>
      <c r="B38">
        <f>'Skor Bobot'!$M$2:$M$1000</f>
        <v>0</v>
      </c>
    </row>
    <row r="39" spans="1:2" x14ac:dyDescent="0.25">
      <c r="A39">
        <f>'Skor Bobot'!$A$2:$A$1000</f>
        <v>0</v>
      </c>
      <c r="B39">
        <f>'Skor Bobot'!$M$2:$M$1000</f>
        <v>0</v>
      </c>
    </row>
    <row r="40" spans="1:2" x14ac:dyDescent="0.25">
      <c r="A40">
        <f>'Skor Bobot'!$A$2:$A$1000</f>
        <v>0</v>
      </c>
      <c r="B40">
        <f>'Skor Bobot'!$M$2:$M$1000</f>
        <v>0</v>
      </c>
    </row>
    <row r="41" spans="1:2" x14ac:dyDescent="0.25">
      <c r="A41">
        <f>'Skor Bobot'!$A$2:$A$1000</f>
        <v>0</v>
      </c>
      <c r="B41">
        <f>'Skor Bobot'!$M$2:$M$1000</f>
        <v>0</v>
      </c>
    </row>
    <row r="42" spans="1:2" x14ac:dyDescent="0.25">
      <c r="A42">
        <f>'Skor Bobot'!$A$2:$A$1000</f>
        <v>0</v>
      </c>
      <c r="B42">
        <f>'Skor Bobot'!$M$2:$M$1000</f>
        <v>0</v>
      </c>
    </row>
    <row r="43" spans="1:2" x14ac:dyDescent="0.25">
      <c r="A43">
        <f>'Skor Bobot'!$A$2:$A$1000</f>
        <v>0</v>
      </c>
      <c r="B43">
        <f>'Skor Bobot'!$M$2:$M$1000</f>
        <v>0</v>
      </c>
    </row>
    <row r="44" spans="1:2" x14ac:dyDescent="0.25">
      <c r="A44">
        <f>'Skor Bobot'!$A$2:$A$1000</f>
        <v>0</v>
      </c>
      <c r="B44">
        <f>'Skor Bobot'!$M$2:$M$1000</f>
        <v>0</v>
      </c>
    </row>
    <row r="45" spans="1:2" x14ac:dyDescent="0.25">
      <c r="A45">
        <f>'Skor Bobot'!$A$2:$A$1000</f>
        <v>0</v>
      </c>
      <c r="B45">
        <f>'Skor Bobot'!$M$2:$M$1000</f>
        <v>0</v>
      </c>
    </row>
    <row r="46" spans="1:2" x14ac:dyDescent="0.25">
      <c r="A46">
        <f>'Skor Bobot'!$A$2:$A$1000</f>
        <v>0</v>
      </c>
      <c r="B46">
        <f>'Skor Bobot'!$M$2:$M$1000</f>
        <v>0</v>
      </c>
    </row>
    <row r="47" spans="1:2" x14ac:dyDescent="0.25">
      <c r="A47">
        <f>'Skor Bobot'!$A$2:$A$1000</f>
        <v>0</v>
      </c>
      <c r="B47">
        <f>'Skor Bobot'!$M$2:$M$1000</f>
        <v>0</v>
      </c>
    </row>
    <row r="48" spans="1:2" x14ac:dyDescent="0.25">
      <c r="A48">
        <f>'Skor Bobot'!$A$2:$A$1000</f>
        <v>0</v>
      </c>
      <c r="B48">
        <f>'Skor Bobot'!$M$2:$M$1000</f>
        <v>0</v>
      </c>
    </row>
    <row r="49" spans="1:2" x14ac:dyDescent="0.25">
      <c r="A49">
        <f>'Skor Bobot'!$A$2:$A$1000</f>
        <v>0</v>
      </c>
      <c r="B49">
        <f>'Skor Bobot'!$M$2:$M$1000</f>
        <v>0</v>
      </c>
    </row>
    <row r="50" spans="1:2" x14ac:dyDescent="0.25">
      <c r="A50">
        <f>'Skor Bobot'!$A$2:$A$1000</f>
        <v>0</v>
      </c>
      <c r="B50">
        <f>'Skor Bobot'!$M$2:$M$1000</f>
        <v>0</v>
      </c>
    </row>
    <row r="51" spans="1:2" x14ac:dyDescent="0.25">
      <c r="A51">
        <f>'Skor Bobot'!$A$2:$A$1000</f>
        <v>0</v>
      </c>
      <c r="B51">
        <f>'Skor Bobot'!$M$2:$M$1000</f>
        <v>0</v>
      </c>
    </row>
    <row r="52" spans="1:2" x14ac:dyDescent="0.25">
      <c r="A52">
        <f>'Skor Bobot'!$A$2:$A$1000</f>
        <v>0</v>
      </c>
      <c r="B52">
        <f>'Skor Bobot'!$M$2:$M$1000</f>
        <v>0</v>
      </c>
    </row>
    <row r="53" spans="1:2" x14ac:dyDescent="0.25">
      <c r="A53">
        <f>'Skor Bobot'!$A$2:$A$1000</f>
        <v>0</v>
      </c>
      <c r="B53">
        <f>'Skor Bobot'!$M$2:$M$1000</f>
        <v>0</v>
      </c>
    </row>
    <row r="54" spans="1:2" x14ac:dyDescent="0.25">
      <c r="A54">
        <f>'Skor Bobot'!$A$2:$A$1000</f>
        <v>0</v>
      </c>
      <c r="B54">
        <f>'Skor Bobot'!$M$2:$M$1000</f>
        <v>0</v>
      </c>
    </row>
    <row r="55" spans="1:2" x14ac:dyDescent="0.25">
      <c r="A55">
        <f>'Skor Bobot'!$A$2:$A$1000</f>
        <v>0</v>
      </c>
      <c r="B55">
        <f>'Skor Bobot'!$M$2:$M$1000</f>
        <v>0</v>
      </c>
    </row>
    <row r="56" spans="1:2" x14ac:dyDescent="0.25">
      <c r="A56">
        <f>'Skor Bobot'!$A$2:$A$1000</f>
        <v>0</v>
      </c>
      <c r="B56">
        <f>'Skor Bobot'!$M$2:$M$1000</f>
        <v>0</v>
      </c>
    </row>
    <row r="57" spans="1:2" x14ac:dyDescent="0.25">
      <c r="A57">
        <f>'Skor Bobot'!$A$2:$A$1000</f>
        <v>0</v>
      </c>
      <c r="B57">
        <f>'Skor Bobot'!$M$2:$M$1000</f>
        <v>0</v>
      </c>
    </row>
    <row r="58" spans="1:2" x14ac:dyDescent="0.25">
      <c r="A58">
        <f>'Skor Bobot'!$A$2:$A$1000</f>
        <v>0</v>
      </c>
      <c r="B58">
        <f>'Skor Bobot'!$M$2:$M$1000</f>
        <v>0</v>
      </c>
    </row>
    <row r="59" spans="1:2" x14ac:dyDescent="0.25">
      <c r="A59">
        <f>'Skor Bobot'!$A$2:$A$1000</f>
        <v>0</v>
      </c>
      <c r="B59">
        <f>'Skor Bobot'!$M$2:$M$1000</f>
        <v>0</v>
      </c>
    </row>
    <row r="60" spans="1:2" x14ac:dyDescent="0.25">
      <c r="A60">
        <f>'Skor Bobot'!$A$2:$A$1000</f>
        <v>0</v>
      </c>
      <c r="B60">
        <f>'Skor Bobot'!$M$2:$M$1000</f>
        <v>0</v>
      </c>
    </row>
    <row r="61" spans="1:2" x14ac:dyDescent="0.25">
      <c r="A61">
        <f>'Skor Bobot'!$A$2:$A$1000</f>
        <v>0</v>
      </c>
      <c r="B61">
        <f>'Skor Bobot'!$M$2:$M$1000</f>
        <v>0</v>
      </c>
    </row>
    <row r="62" spans="1:2" x14ac:dyDescent="0.25">
      <c r="A62">
        <f>'Skor Bobot'!$A$2:$A$1000</f>
        <v>0</v>
      </c>
      <c r="B62">
        <f>'Skor Bobot'!$M$2:$M$1000</f>
        <v>0</v>
      </c>
    </row>
    <row r="63" spans="1:2" x14ac:dyDescent="0.25">
      <c r="A63">
        <f>'Skor Bobot'!$A$2:$A$1000</f>
        <v>0</v>
      </c>
      <c r="B63">
        <f>'Skor Bobot'!$M$2:$M$1000</f>
        <v>0</v>
      </c>
    </row>
    <row r="64" spans="1:2" x14ac:dyDescent="0.25">
      <c r="A64">
        <f>'Skor Bobot'!$A$2:$A$1000</f>
        <v>0</v>
      </c>
      <c r="B64">
        <f>'Skor Bobot'!$M$2:$M$1000</f>
        <v>0</v>
      </c>
    </row>
    <row r="65" spans="1:2" x14ac:dyDescent="0.25">
      <c r="A65">
        <f>'Skor Bobot'!$A$2:$A$1000</f>
        <v>0</v>
      </c>
      <c r="B65">
        <f>'Skor Bobot'!$M$2:$M$1000</f>
        <v>0</v>
      </c>
    </row>
    <row r="66" spans="1:2" x14ac:dyDescent="0.25">
      <c r="A66">
        <f>'Skor Bobot'!$A$2:$A$1000</f>
        <v>0</v>
      </c>
      <c r="B66">
        <f>'Skor Bobot'!$M$2:$M$1000</f>
        <v>0</v>
      </c>
    </row>
    <row r="67" spans="1:2" x14ac:dyDescent="0.25">
      <c r="A67">
        <f>'Skor Bobot'!$A$2:$A$1000</f>
        <v>0</v>
      </c>
      <c r="B67">
        <f>'Skor Bobot'!$M$2:$M$1000</f>
        <v>0</v>
      </c>
    </row>
    <row r="68" spans="1:2" x14ac:dyDescent="0.25">
      <c r="A68">
        <f>'Skor Bobot'!$A$2:$A$1000</f>
        <v>0</v>
      </c>
      <c r="B68">
        <f>'Skor Bobot'!$M$2:$M$1000</f>
        <v>0</v>
      </c>
    </row>
    <row r="69" spans="1:2" x14ac:dyDescent="0.25">
      <c r="A69">
        <f>'Skor Bobot'!$A$2:$A$1000</f>
        <v>0</v>
      </c>
      <c r="B69">
        <f>'Skor Bobot'!$M$2:$M$1000</f>
        <v>0</v>
      </c>
    </row>
    <row r="70" spans="1:2" x14ac:dyDescent="0.25">
      <c r="A70">
        <f>'Skor Bobot'!$A$2:$A$1000</f>
        <v>0</v>
      </c>
      <c r="B70">
        <f>'Skor Bobot'!$M$2:$M$1000</f>
        <v>0</v>
      </c>
    </row>
    <row r="71" spans="1:2" x14ac:dyDescent="0.25">
      <c r="A71">
        <f>'Skor Bobot'!$A$2:$A$1000</f>
        <v>0</v>
      </c>
      <c r="B71">
        <f>'Skor Bobot'!$M$2:$M$1000</f>
        <v>0</v>
      </c>
    </row>
    <row r="72" spans="1:2" x14ac:dyDescent="0.25">
      <c r="A72">
        <f>'Skor Bobot'!$A$2:$A$1000</f>
        <v>0</v>
      </c>
      <c r="B72">
        <f>'Skor Bobot'!$M$2:$M$1000</f>
        <v>0</v>
      </c>
    </row>
    <row r="73" spans="1:2" x14ac:dyDescent="0.25">
      <c r="A73">
        <f>'Skor Bobot'!$A$2:$A$1000</f>
        <v>0</v>
      </c>
      <c r="B73">
        <f>'Skor Bobot'!$M$2:$M$1000</f>
        <v>0</v>
      </c>
    </row>
    <row r="74" spans="1:2" x14ac:dyDescent="0.25">
      <c r="A74">
        <f>'Skor Bobot'!$A$2:$A$1000</f>
        <v>0</v>
      </c>
      <c r="B74">
        <f>'Skor Bobot'!$M$2:$M$1000</f>
        <v>0</v>
      </c>
    </row>
    <row r="75" spans="1:2" x14ac:dyDescent="0.25">
      <c r="A75">
        <f>'Skor Bobot'!$A$2:$A$1000</f>
        <v>0</v>
      </c>
      <c r="B75">
        <f>'Skor Bobot'!$M$2:$M$1000</f>
        <v>0</v>
      </c>
    </row>
    <row r="76" spans="1:2" x14ac:dyDescent="0.25">
      <c r="A76">
        <f>'Skor Bobot'!$A$2:$A$1000</f>
        <v>0</v>
      </c>
      <c r="B76">
        <f>'Skor Bobot'!$M$2:$M$1000</f>
        <v>0</v>
      </c>
    </row>
    <row r="77" spans="1:2" x14ac:dyDescent="0.25">
      <c r="A77">
        <f>'Skor Bobot'!$A$2:$A$1000</f>
        <v>0</v>
      </c>
      <c r="B77">
        <f>'Skor Bobot'!$M$2:$M$1000</f>
        <v>0</v>
      </c>
    </row>
    <row r="78" spans="1:2" x14ac:dyDescent="0.25">
      <c r="A78">
        <f>'Skor Bobot'!$A$2:$A$1000</f>
        <v>0</v>
      </c>
      <c r="B78">
        <f>'Skor Bobot'!$M$2:$M$1000</f>
        <v>0</v>
      </c>
    </row>
    <row r="79" spans="1:2" x14ac:dyDescent="0.25">
      <c r="A79">
        <f>'Skor Bobot'!$A$2:$A$1000</f>
        <v>0</v>
      </c>
      <c r="B79">
        <f>'Skor Bobot'!$M$2:$M$1000</f>
        <v>0</v>
      </c>
    </row>
    <row r="80" spans="1:2" x14ac:dyDescent="0.25">
      <c r="A80">
        <f>'Skor Bobot'!$A$2:$A$1000</f>
        <v>0</v>
      </c>
      <c r="B80">
        <f>'Skor Bobot'!$M$2:$M$1000</f>
        <v>0</v>
      </c>
    </row>
    <row r="81" spans="1:2" x14ac:dyDescent="0.25">
      <c r="A81">
        <f>'Skor Bobot'!$A$2:$A$1000</f>
        <v>0</v>
      </c>
      <c r="B81">
        <f>'Skor Bobot'!$M$2:$M$1000</f>
        <v>0</v>
      </c>
    </row>
    <row r="82" spans="1:2" x14ac:dyDescent="0.25">
      <c r="A82">
        <f>'Skor Bobot'!$A$2:$A$1000</f>
        <v>0</v>
      </c>
      <c r="B82">
        <f>'Skor Bobot'!$M$2:$M$1000</f>
        <v>0</v>
      </c>
    </row>
    <row r="83" spans="1:2" x14ac:dyDescent="0.25">
      <c r="A83">
        <f>'Skor Bobot'!$A$2:$A$1000</f>
        <v>0</v>
      </c>
      <c r="B83">
        <f>'Skor Bobot'!$M$2:$M$1000</f>
        <v>0</v>
      </c>
    </row>
    <row r="84" spans="1:2" x14ac:dyDescent="0.25">
      <c r="A84">
        <f>'Skor Bobot'!$A$2:$A$1000</f>
        <v>0</v>
      </c>
      <c r="B84">
        <f>'Skor Bobot'!$M$2:$M$1000</f>
        <v>0</v>
      </c>
    </row>
    <row r="85" spans="1:2" x14ac:dyDescent="0.25">
      <c r="A85">
        <f>'Skor Bobot'!$A$2:$A$1000</f>
        <v>0</v>
      </c>
      <c r="B85">
        <f>'Skor Bobot'!$M$2:$M$1000</f>
        <v>0</v>
      </c>
    </row>
    <row r="86" spans="1:2" x14ac:dyDescent="0.25">
      <c r="A86">
        <f>'Skor Bobot'!$A$2:$A$1000</f>
        <v>0</v>
      </c>
      <c r="B86">
        <f>'Skor Bobot'!$M$2:$M$1000</f>
        <v>0</v>
      </c>
    </row>
    <row r="87" spans="1:2" x14ac:dyDescent="0.25">
      <c r="A87">
        <f>'Skor Bobot'!$A$2:$A$1000</f>
        <v>0</v>
      </c>
      <c r="B87">
        <f>'Skor Bobot'!$M$2:$M$1000</f>
        <v>0</v>
      </c>
    </row>
    <row r="88" spans="1:2" x14ac:dyDescent="0.25">
      <c r="A88">
        <f>'Skor Bobot'!$A$2:$A$1000</f>
        <v>0</v>
      </c>
      <c r="B88">
        <f>'Skor Bobot'!$M$2:$M$1000</f>
        <v>0</v>
      </c>
    </row>
    <row r="89" spans="1:2" x14ac:dyDescent="0.25">
      <c r="A89">
        <f>'Skor Bobot'!$A$2:$A$1000</f>
        <v>0</v>
      </c>
      <c r="B89">
        <f>'Skor Bobot'!$M$2:$M$1000</f>
        <v>0</v>
      </c>
    </row>
    <row r="90" spans="1:2" x14ac:dyDescent="0.25">
      <c r="A90">
        <f>'Skor Bobot'!$A$2:$A$1000</f>
        <v>0</v>
      </c>
      <c r="B90">
        <f>'Skor Bobot'!$M$2:$M$1000</f>
        <v>0</v>
      </c>
    </row>
    <row r="91" spans="1:2" x14ac:dyDescent="0.25">
      <c r="A91">
        <f>'Skor Bobot'!$A$2:$A$1000</f>
        <v>0</v>
      </c>
      <c r="B91">
        <f>'Skor Bobot'!$M$2:$M$1000</f>
        <v>0</v>
      </c>
    </row>
    <row r="92" spans="1:2" x14ac:dyDescent="0.25">
      <c r="A92">
        <f>'Skor Bobot'!$A$2:$A$1000</f>
        <v>0</v>
      </c>
      <c r="B92">
        <f>'Skor Bobot'!$M$2:$M$1000</f>
        <v>0</v>
      </c>
    </row>
    <row r="93" spans="1:2" x14ac:dyDescent="0.25">
      <c r="A93">
        <f>'Skor Bobot'!$A$2:$A$1000</f>
        <v>0</v>
      </c>
      <c r="B93">
        <f>'Skor Bobot'!$M$2:$M$1000</f>
        <v>0</v>
      </c>
    </row>
    <row r="94" spans="1:2" x14ac:dyDescent="0.25">
      <c r="A94">
        <f>'Skor Bobot'!$A$2:$A$1000</f>
        <v>0</v>
      </c>
      <c r="B94">
        <f>'Skor Bobot'!$M$2:$M$1000</f>
        <v>0</v>
      </c>
    </row>
    <row r="95" spans="1:2" x14ac:dyDescent="0.25">
      <c r="A95">
        <f>'Skor Bobot'!$A$2:$A$1000</f>
        <v>0</v>
      </c>
      <c r="B95">
        <f>'Skor Bobot'!$M$2:$M$1000</f>
        <v>0</v>
      </c>
    </row>
    <row r="96" spans="1:2" x14ac:dyDescent="0.25">
      <c r="A96">
        <f>'Skor Bobot'!$A$2:$A$1000</f>
        <v>0</v>
      </c>
      <c r="B96">
        <f>'Skor Bobot'!$M$2:$M$1000</f>
        <v>0</v>
      </c>
    </row>
    <row r="97" spans="1:2" x14ac:dyDescent="0.25">
      <c r="A97">
        <f>'Skor Bobot'!$A$2:$A$1000</f>
        <v>0</v>
      </c>
      <c r="B97">
        <f>'Skor Bobot'!$M$2:$M$1000</f>
        <v>0</v>
      </c>
    </row>
    <row r="98" spans="1:2" x14ac:dyDescent="0.25">
      <c r="A98">
        <f>'Skor Bobot'!$A$2:$A$1000</f>
        <v>0</v>
      </c>
      <c r="B98">
        <f>'Skor Bobot'!$M$2:$M$1000</f>
        <v>0</v>
      </c>
    </row>
    <row r="99" spans="1:2" x14ac:dyDescent="0.25">
      <c r="A99">
        <f>'Skor Bobot'!$A$2:$A$1000</f>
        <v>0</v>
      </c>
      <c r="B99">
        <f>'Skor Bobot'!$M$2:$M$1000</f>
        <v>0</v>
      </c>
    </row>
    <row r="100" spans="1:2" x14ac:dyDescent="0.25">
      <c r="A100">
        <f>'Skor Bobot'!$A$2:$A$1000</f>
        <v>0</v>
      </c>
      <c r="B100">
        <f>'Skor Bobot'!$M$2:$M$1000</f>
        <v>0</v>
      </c>
    </row>
    <row r="101" spans="1:2" x14ac:dyDescent="0.25">
      <c r="A101">
        <f>'Skor Bobot'!$A$2:$A$1000</f>
        <v>0</v>
      </c>
      <c r="B101">
        <f>'Skor Bobot'!$M$2:$M$1000</f>
        <v>0</v>
      </c>
    </row>
    <row r="102" spans="1:2" x14ac:dyDescent="0.25">
      <c r="A102">
        <f>'Skor Bobot'!$A$2:$A$1000</f>
        <v>0</v>
      </c>
      <c r="B102">
        <f>'Skor Bobot'!$M$2:$M$1000</f>
        <v>0</v>
      </c>
    </row>
    <row r="103" spans="1:2" x14ac:dyDescent="0.25">
      <c r="A103">
        <f>'Skor Bobot'!$A$2:$A$1000</f>
        <v>0</v>
      </c>
      <c r="B103">
        <f>'Skor Bobot'!$M$2:$M$1000</f>
        <v>0</v>
      </c>
    </row>
    <row r="104" spans="1:2" x14ac:dyDescent="0.25">
      <c r="A104">
        <f>'Skor Bobot'!$A$2:$A$1000</f>
        <v>0</v>
      </c>
      <c r="B104">
        <f>'Skor Bobot'!$M$2:$M$1000</f>
        <v>0</v>
      </c>
    </row>
    <row r="105" spans="1:2" x14ac:dyDescent="0.25">
      <c r="A105">
        <f>'Skor Bobot'!$A$2:$A$1000</f>
        <v>0</v>
      </c>
      <c r="B105">
        <f>'Skor Bobot'!$M$2:$M$1000</f>
        <v>0</v>
      </c>
    </row>
    <row r="106" spans="1:2" x14ac:dyDescent="0.25">
      <c r="A106">
        <f>'Skor Bobot'!$A$2:$A$1000</f>
        <v>0</v>
      </c>
      <c r="B106">
        <f>'Skor Bobot'!$M$2:$M$1000</f>
        <v>0</v>
      </c>
    </row>
    <row r="107" spans="1:2" x14ac:dyDescent="0.25">
      <c r="A107">
        <f>'Skor Bobot'!$A$2:$A$1000</f>
        <v>0</v>
      </c>
      <c r="B107">
        <f>'Skor Bobot'!$M$2:$M$1000</f>
        <v>0</v>
      </c>
    </row>
    <row r="108" spans="1:2" x14ac:dyDescent="0.25">
      <c r="A108">
        <f>'Skor Bobot'!$A$2:$A$1000</f>
        <v>0</v>
      </c>
      <c r="B108">
        <f>'Skor Bobot'!$M$2:$M$1000</f>
        <v>0</v>
      </c>
    </row>
    <row r="109" spans="1:2" x14ac:dyDescent="0.25">
      <c r="A109">
        <f>'Skor Bobot'!$A$2:$A$1000</f>
        <v>0</v>
      </c>
      <c r="B109">
        <f>'Skor Bobot'!$M$2:$M$1000</f>
        <v>0</v>
      </c>
    </row>
    <row r="110" spans="1:2" x14ac:dyDescent="0.25">
      <c r="A110">
        <f>'Skor Bobot'!$A$2:$A$1000</f>
        <v>0</v>
      </c>
      <c r="B110">
        <f>'Skor Bobot'!$M$2:$M$1000</f>
        <v>0</v>
      </c>
    </row>
    <row r="111" spans="1:2" x14ac:dyDescent="0.25">
      <c r="A111">
        <f>'Skor Bobot'!$A$2:$A$1000</f>
        <v>0</v>
      </c>
      <c r="B111">
        <f>'Skor Bobot'!$M$2:$M$1000</f>
        <v>0</v>
      </c>
    </row>
    <row r="112" spans="1:2" x14ac:dyDescent="0.25">
      <c r="A112">
        <f>'Skor Bobot'!$A$2:$A$1000</f>
        <v>0</v>
      </c>
      <c r="B112">
        <f>'Skor Bobot'!$M$2:$M$1000</f>
        <v>0</v>
      </c>
    </row>
    <row r="113" spans="1:2" x14ac:dyDescent="0.25">
      <c r="A113">
        <f>'Skor Bobot'!$A$2:$A$1000</f>
        <v>0</v>
      </c>
      <c r="B113">
        <f>'Skor Bobot'!$M$2:$M$1000</f>
        <v>0</v>
      </c>
    </row>
    <row r="114" spans="1:2" x14ac:dyDescent="0.25">
      <c r="A114">
        <f>'Skor Bobot'!$A$2:$A$1000</f>
        <v>0</v>
      </c>
      <c r="B114">
        <f>'Skor Bobot'!$M$2:$M$1000</f>
        <v>0</v>
      </c>
    </row>
    <row r="115" spans="1:2" x14ac:dyDescent="0.25">
      <c r="A115">
        <f>'Skor Bobot'!$A$2:$A$1000</f>
        <v>0</v>
      </c>
      <c r="B115">
        <f>'Skor Bobot'!$M$2:$M$1000</f>
        <v>0</v>
      </c>
    </row>
    <row r="116" spans="1:2" x14ac:dyDescent="0.25">
      <c r="A116">
        <f>'Skor Bobot'!$A$2:$A$1000</f>
        <v>0</v>
      </c>
      <c r="B116">
        <f>'Skor Bobot'!$M$2:$M$1000</f>
        <v>0</v>
      </c>
    </row>
    <row r="117" spans="1:2" x14ac:dyDescent="0.25">
      <c r="A117">
        <f>'Skor Bobot'!$A$2:$A$1000</f>
        <v>0</v>
      </c>
      <c r="B117">
        <f>'Skor Bobot'!$M$2:$M$1000</f>
        <v>0</v>
      </c>
    </row>
    <row r="118" spans="1:2" x14ac:dyDescent="0.25">
      <c r="A118">
        <f>'Skor Bobot'!$A$2:$A$1000</f>
        <v>0</v>
      </c>
      <c r="B118">
        <f>'Skor Bobot'!$M$2:$M$1000</f>
        <v>0</v>
      </c>
    </row>
    <row r="119" spans="1:2" x14ac:dyDescent="0.25">
      <c r="A119">
        <f>'Skor Bobot'!$A$2:$A$1000</f>
        <v>0</v>
      </c>
      <c r="B119">
        <f>'Skor Bobot'!$M$2:$M$1000</f>
        <v>0</v>
      </c>
    </row>
    <row r="120" spans="1:2" x14ac:dyDescent="0.25">
      <c r="A120">
        <f>'Skor Bobot'!$A$2:$A$1000</f>
        <v>0</v>
      </c>
      <c r="B120">
        <f>'Skor Bobot'!$M$2:$M$1000</f>
        <v>0</v>
      </c>
    </row>
    <row r="121" spans="1:2" x14ac:dyDescent="0.25">
      <c r="A121">
        <f>'Skor Bobot'!$A$2:$A$1000</f>
        <v>0</v>
      </c>
      <c r="B121">
        <f>'Skor Bobot'!$M$2:$M$1000</f>
        <v>0</v>
      </c>
    </row>
    <row r="122" spans="1:2" x14ac:dyDescent="0.25">
      <c r="A122">
        <f>'Skor Bobot'!$A$2:$A$1000</f>
        <v>0</v>
      </c>
      <c r="B122">
        <f>'Skor Bobot'!$M$2:$M$1000</f>
        <v>0</v>
      </c>
    </row>
    <row r="123" spans="1:2" x14ac:dyDescent="0.25">
      <c r="A123">
        <f>'Skor Bobot'!$A$2:$A$1000</f>
        <v>0</v>
      </c>
      <c r="B123">
        <f>'Skor Bobot'!$M$2:$M$1000</f>
        <v>0</v>
      </c>
    </row>
    <row r="124" spans="1:2" x14ac:dyDescent="0.25">
      <c r="A124">
        <f>'Skor Bobot'!$A$2:$A$1000</f>
        <v>0</v>
      </c>
      <c r="B124">
        <f>'Skor Bobot'!$M$2:$M$1000</f>
        <v>0</v>
      </c>
    </row>
    <row r="125" spans="1:2" x14ac:dyDescent="0.25">
      <c r="A125">
        <f>'Skor Bobot'!$A$2:$A$1000</f>
        <v>0</v>
      </c>
      <c r="B125">
        <f>'Skor Bobot'!$M$2:$M$1000</f>
        <v>0</v>
      </c>
    </row>
    <row r="126" spans="1:2" x14ac:dyDescent="0.25">
      <c r="A126">
        <f>'Skor Bobot'!$A$2:$A$1000</f>
        <v>0</v>
      </c>
      <c r="B126">
        <f>'Skor Bobot'!$M$2:$M$1000</f>
        <v>0</v>
      </c>
    </row>
    <row r="127" spans="1:2" x14ac:dyDescent="0.25">
      <c r="A127">
        <f>'Skor Bobot'!$A$2:$A$1000</f>
        <v>0</v>
      </c>
      <c r="B127">
        <f>'Skor Bobot'!$M$2:$M$1000</f>
        <v>0</v>
      </c>
    </row>
    <row r="128" spans="1:2" x14ac:dyDescent="0.25">
      <c r="A128">
        <f>'Skor Bobot'!$A$2:$A$1000</f>
        <v>0</v>
      </c>
      <c r="B128">
        <f>'Skor Bobot'!$M$2:$M$1000</f>
        <v>0</v>
      </c>
    </row>
    <row r="129" spans="1:2" x14ac:dyDescent="0.25">
      <c r="A129">
        <f>'Skor Bobot'!$A$2:$A$1000</f>
        <v>0</v>
      </c>
      <c r="B129">
        <f>'Skor Bobot'!$M$2:$M$1000</f>
        <v>0</v>
      </c>
    </row>
    <row r="130" spans="1:2" x14ac:dyDescent="0.25">
      <c r="A130">
        <f>'Skor Bobot'!$A$2:$A$1000</f>
        <v>0</v>
      </c>
      <c r="B130">
        <f>'Skor Bobot'!$M$2:$M$1000</f>
        <v>0</v>
      </c>
    </row>
    <row r="131" spans="1:2" x14ac:dyDescent="0.25">
      <c r="A131">
        <f>'Skor Bobot'!$A$2:$A$1000</f>
        <v>0</v>
      </c>
      <c r="B131">
        <f>'Skor Bobot'!$M$2:$M$1000</f>
        <v>0</v>
      </c>
    </row>
    <row r="132" spans="1:2" x14ac:dyDescent="0.25">
      <c r="A132">
        <f>'Skor Bobot'!$A$2:$A$1000</f>
        <v>0</v>
      </c>
      <c r="B132">
        <f>'Skor Bobot'!$M$2:$M$1000</f>
        <v>0</v>
      </c>
    </row>
    <row r="133" spans="1:2" x14ac:dyDescent="0.25">
      <c r="A133">
        <f>'Skor Bobot'!$A$2:$A$1000</f>
        <v>0</v>
      </c>
      <c r="B133">
        <f>'Skor Bobot'!$M$2:$M$1000</f>
        <v>0</v>
      </c>
    </row>
    <row r="134" spans="1:2" x14ac:dyDescent="0.25">
      <c r="A134">
        <f>'Skor Bobot'!$A$2:$A$1000</f>
        <v>0</v>
      </c>
      <c r="B134">
        <f>'Skor Bobot'!$M$2:$M$1000</f>
        <v>0</v>
      </c>
    </row>
    <row r="135" spans="1:2" x14ac:dyDescent="0.25">
      <c r="A135">
        <f>'Skor Bobot'!$A$2:$A$1000</f>
        <v>0</v>
      </c>
      <c r="B135">
        <f>'Skor Bobot'!$M$2:$M$1000</f>
        <v>0</v>
      </c>
    </row>
    <row r="136" spans="1:2" x14ac:dyDescent="0.25">
      <c r="A136">
        <f>'Skor Bobot'!$A$2:$A$1000</f>
        <v>0</v>
      </c>
      <c r="B136">
        <f>'Skor Bobot'!$M$2:$M$1000</f>
        <v>0</v>
      </c>
    </row>
    <row r="137" spans="1:2" x14ac:dyDescent="0.25">
      <c r="A137">
        <f>'Skor Bobot'!$A$2:$A$1000</f>
        <v>0</v>
      </c>
      <c r="B137">
        <f>'Skor Bobot'!$M$2:$M$1000</f>
        <v>0</v>
      </c>
    </row>
    <row r="138" spans="1:2" x14ac:dyDescent="0.25">
      <c r="A138">
        <f>'Skor Bobot'!$A$2:$A$1000</f>
        <v>0</v>
      </c>
      <c r="B138">
        <f>'Skor Bobot'!$M$2:$M$1000</f>
        <v>0</v>
      </c>
    </row>
    <row r="139" spans="1:2" x14ac:dyDescent="0.25">
      <c r="A139">
        <f>'Skor Bobot'!$A$2:$A$1000</f>
        <v>0</v>
      </c>
      <c r="B139">
        <f>'Skor Bobot'!$M$2:$M$1000</f>
        <v>0</v>
      </c>
    </row>
    <row r="140" spans="1:2" x14ac:dyDescent="0.25">
      <c r="A140">
        <f>'Skor Bobot'!$A$2:$A$1000</f>
        <v>0</v>
      </c>
      <c r="B140">
        <f>'Skor Bobot'!$M$2:$M$1000</f>
        <v>0</v>
      </c>
    </row>
    <row r="141" spans="1:2" x14ac:dyDescent="0.25">
      <c r="A141">
        <f>'Skor Bobot'!$A$2:$A$1000</f>
        <v>0</v>
      </c>
      <c r="B141">
        <f>'Skor Bobot'!$M$2:$M$1000</f>
        <v>0</v>
      </c>
    </row>
    <row r="142" spans="1:2" x14ac:dyDescent="0.25">
      <c r="A142">
        <f>'Skor Bobot'!$A$2:$A$1000</f>
        <v>0</v>
      </c>
      <c r="B142">
        <f>'Skor Bobot'!$M$2:$M$1000</f>
        <v>0</v>
      </c>
    </row>
    <row r="143" spans="1:2" x14ac:dyDescent="0.25">
      <c r="A143">
        <f>'Skor Bobot'!$A$2:$A$1000</f>
        <v>0</v>
      </c>
      <c r="B143">
        <f>'Skor Bobot'!$M$2:$M$1000</f>
        <v>0</v>
      </c>
    </row>
    <row r="144" spans="1:2" x14ac:dyDescent="0.25">
      <c r="A144">
        <f>'Skor Bobot'!$A$2:$A$1000</f>
        <v>0</v>
      </c>
      <c r="B144">
        <f>'Skor Bobot'!$M$2:$M$1000</f>
        <v>0</v>
      </c>
    </row>
    <row r="145" spans="1:2" x14ac:dyDescent="0.25">
      <c r="A145">
        <f>'Skor Bobot'!$A$2:$A$1000</f>
        <v>0</v>
      </c>
      <c r="B145">
        <f>'Skor Bobot'!$M$2:$M$1000</f>
        <v>0</v>
      </c>
    </row>
    <row r="146" spans="1:2" x14ac:dyDescent="0.25">
      <c r="A146">
        <f>'Skor Bobot'!$A$2:$A$1000</f>
        <v>0</v>
      </c>
      <c r="B146">
        <f>'Skor Bobot'!$M$2:$M$1000</f>
        <v>0</v>
      </c>
    </row>
    <row r="147" spans="1:2" x14ac:dyDescent="0.25">
      <c r="A147">
        <f>'Skor Bobot'!$A$2:$A$1000</f>
        <v>0</v>
      </c>
      <c r="B147">
        <f>'Skor Bobot'!$M$2:$M$1000</f>
        <v>0</v>
      </c>
    </row>
    <row r="148" spans="1:2" x14ac:dyDescent="0.25">
      <c r="A148">
        <f>'Skor Bobot'!$A$2:$A$1000</f>
        <v>0</v>
      </c>
      <c r="B148">
        <f>'Skor Bobot'!$M$2:$M$1000</f>
        <v>0</v>
      </c>
    </row>
    <row r="149" spans="1:2" x14ac:dyDescent="0.25">
      <c r="A149">
        <f>'Skor Bobot'!$A$2:$A$1000</f>
        <v>0</v>
      </c>
      <c r="B149">
        <f>'Skor Bobot'!$M$2:$M$1000</f>
        <v>0</v>
      </c>
    </row>
    <row r="150" spans="1:2" x14ac:dyDescent="0.25">
      <c r="A150">
        <f>'Skor Bobot'!$A$2:$A$1000</f>
        <v>0</v>
      </c>
      <c r="B150">
        <f>'Skor Bobot'!$M$2:$M$1000</f>
        <v>0</v>
      </c>
    </row>
    <row r="151" spans="1:2" x14ac:dyDescent="0.25">
      <c r="A151">
        <f>'Skor Bobot'!$A$2:$A$1000</f>
        <v>0</v>
      </c>
      <c r="B151">
        <f>'Skor Bobot'!$M$2:$M$1000</f>
        <v>0</v>
      </c>
    </row>
    <row r="152" spans="1:2" x14ac:dyDescent="0.25">
      <c r="A152">
        <f>'Skor Bobot'!$A$2:$A$1000</f>
        <v>0</v>
      </c>
      <c r="B152">
        <f>'Skor Bobot'!$M$2:$M$1000</f>
        <v>0</v>
      </c>
    </row>
    <row r="153" spans="1:2" x14ac:dyDescent="0.25">
      <c r="A153">
        <f>'Skor Bobot'!$A$2:$A$1000</f>
        <v>0</v>
      </c>
      <c r="B153">
        <f>'Skor Bobot'!$M$2:$M$1000</f>
        <v>0</v>
      </c>
    </row>
    <row r="154" spans="1:2" x14ac:dyDescent="0.25">
      <c r="A154">
        <f>'Skor Bobot'!$A$2:$A$1000</f>
        <v>0</v>
      </c>
      <c r="B154">
        <f>'Skor Bobot'!$M$2:$M$1000</f>
        <v>0</v>
      </c>
    </row>
    <row r="155" spans="1:2" x14ac:dyDescent="0.25">
      <c r="A155">
        <f>'Skor Bobot'!$A$2:$A$1000</f>
        <v>0</v>
      </c>
      <c r="B155">
        <f>'Skor Bobot'!$M$2:$M$1000</f>
        <v>0</v>
      </c>
    </row>
    <row r="156" spans="1:2" x14ac:dyDescent="0.25">
      <c r="A156">
        <f>'Skor Bobot'!$A$2:$A$1000</f>
        <v>0</v>
      </c>
      <c r="B156">
        <f>'Skor Bobot'!$M$2:$M$1000</f>
        <v>0</v>
      </c>
    </row>
    <row r="157" spans="1:2" x14ac:dyDescent="0.25">
      <c r="A157">
        <f>'Skor Bobot'!$A$2:$A$1000</f>
        <v>0</v>
      </c>
      <c r="B157">
        <f>'Skor Bobot'!$M$2:$M$1000</f>
        <v>0</v>
      </c>
    </row>
    <row r="158" spans="1:2" x14ac:dyDescent="0.25">
      <c r="A158">
        <f>'Skor Bobot'!$A$2:$A$1000</f>
        <v>0</v>
      </c>
      <c r="B158">
        <f>'Skor Bobot'!$M$2:$M$1000</f>
        <v>0</v>
      </c>
    </row>
    <row r="159" spans="1:2" x14ac:dyDescent="0.25">
      <c r="A159">
        <f>'Skor Bobot'!$A$2:$A$1000</f>
        <v>0</v>
      </c>
      <c r="B159">
        <f>'Skor Bobot'!$M$2:$M$1000</f>
        <v>0</v>
      </c>
    </row>
    <row r="160" spans="1:2" x14ac:dyDescent="0.25">
      <c r="A160">
        <f>'Skor Bobot'!$A$2:$A$1000</f>
        <v>0</v>
      </c>
      <c r="B160">
        <f>'Skor Bobot'!$M$2:$M$1000</f>
        <v>0</v>
      </c>
    </row>
    <row r="161" spans="1:2" x14ac:dyDescent="0.25">
      <c r="A161">
        <f>'Skor Bobot'!$A$2:$A$1000</f>
        <v>0</v>
      </c>
      <c r="B161">
        <f>'Skor Bobot'!$M$2:$M$1000</f>
        <v>0</v>
      </c>
    </row>
    <row r="162" spans="1:2" x14ac:dyDescent="0.25">
      <c r="A162">
        <f>'Skor Bobot'!$A$2:$A$1000</f>
        <v>0</v>
      </c>
      <c r="B162">
        <f>'Skor Bobot'!$M$2:$M$1000</f>
        <v>0</v>
      </c>
    </row>
    <row r="163" spans="1:2" x14ac:dyDescent="0.25">
      <c r="A163">
        <f>'Skor Bobot'!$A$2:$A$1000</f>
        <v>0</v>
      </c>
      <c r="B163">
        <f>'Skor Bobot'!$M$2:$M$1000</f>
        <v>0</v>
      </c>
    </row>
    <row r="164" spans="1:2" x14ac:dyDescent="0.25">
      <c r="A164">
        <f>'Skor Bobot'!$A$2:$A$1000</f>
        <v>0</v>
      </c>
      <c r="B164">
        <f>'Skor Bobot'!$M$2:$M$1000</f>
        <v>0</v>
      </c>
    </row>
    <row r="165" spans="1:2" x14ac:dyDescent="0.25">
      <c r="A165">
        <f>'Skor Bobot'!$A$2:$A$1000</f>
        <v>0</v>
      </c>
      <c r="B165">
        <f>'Skor Bobot'!$M$2:$M$1000</f>
        <v>0</v>
      </c>
    </row>
    <row r="166" spans="1:2" x14ac:dyDescent="0.25">
      <c r="A166">
        <f>'Skor Bobot'!$A$2:$A$1000</f>
        <v>0</v>
      </c>
      <c r="B166">
        <f>'Skor Bobot'!$M$2:$M$1000</f>
        <v>0</v>
      </c>
    </row>
    <row r="167" spans="1:2" x14ac:dyDescent="0.25">
      <c r="A167">
        <f>'Skor Bobot'!$A$2:$A$1000</f>
        <v>0</v>
      </c>
      <c r="B167">
        <f>'Skor Bobot'!$M$2:$M$1000</f>
        <v>0</v>
      </c>
    </row>
    <row r="168" spans="1:2" x14ac:dyDescent="0.25">
      <c r="A168">
        <f>'Skor Bobot'!$A$2:$A$1000</f>
        <v>0</v>
      </c>
      <c r="B168">
        <f>'Skor Bobot'!$M$2:$M$1000</f>
        <v>0</v>
      </c>
    </row>
    <row r="169" spans="1:2" x14ac:dyDescent="0.25">
      <c r="A169">
        <f>'Skor Bobot'!$A$2:$A$1000</f>
        <v>0</v>
      </c>
      <c r="B169">
        <f>'Skor Bobot'!$M$2:$M$1000</f>
        <v>0</v>
      </c>
    </row>
    <row r="170" spans="1:2" x14ac:dyDescent="0.25">
      <c r="A170">
        <f>'Skor Bobot'!$A$2:$A$1000</f>
        <v>0</v>
      </c>
      <c r="B170">
        <f>'Skor Bobot'!$M$2:$M$1000</f>
        <v>0</v>
      </c>
    </row>
    <row r="171" spans="1:2" x14ac:dyDescent="0.25">
      <c r="A171">
        <f>'Skor Bobot'!$A$2:$A$1000</f>
        <v>0</v>
      </c>
      <c r="B171">
        <f>'Skor Bobot'!$M$2:$M$1000</f>
        <v>0</v>
      </c>
    </row>
    <row r="172" spans="1:2" x14ac:dyDescent="0.25">
      <c r="A172">
        <f>'Skor Bobot'!$A$2:$A$1000</f>
        <v>0</v>
      </c>
      <c r="B172">
        <f>'Skor Bobot'!$M$2:$M$1000</f>
        <v>0</v>
      </c>
    </row>
    <row r="173" spans="1:2" x14ac:dyDescent="0.25">
      <c r="A173">
        <f>'Skor Bobot'!$A$2:$A$1000</f>
        <v>0</v>
      </c>
      <c r="B173">
        <f>'Skor Bobot'!$M$2:$M$1000</f>
        <v>0</v>
      </c>
    </row>
    <row r="174" spans="1:2" x14ac:dyDescent="0.25">
      <c r="A174">
        <f>'Skor Bobot'!$A$2:$A$1000</f>
        <v>0</v>
      </c>
      <c r="B174">
        <f>'Skor Bobot'!$M$2:$M$1000</f>
        <v>0</v>
      </c>
    </row>
    <row r="175" spans="1:2" x14ac:dyDescent="0.25">
      <c r="A175">
        <f>'Skor Bobot'!$A$2:$A$1000</f>
        <v>0</v>
      </c>
      <c r="B175">
        <f>'Skor Bobot'!$M$2:$M$1000</f>
        <v>0</v>
      </c>
    </row>
    <row r="176" spans="1:2" x14ac:dyDescent="0.25">
      <c r="A176">
        <f>'Skor Bobot'!$A$2:$A$1000</f>
        <v>0</v>
      </c>
      <c r="B176">
        <f>'Skor Bobot'!$M$2:$M$1000</f>
        <v>0</v>
      </c>
    </row>
    <row r="177" spans="1:2" x14ac:dyDescent="0.25">
      <c r="A177">
        <f>'Skor Bobot'!$A$2:$A$1000</f>
        <v>0</v>
      </c>
      <c r="B177">
        <f>'Skor Bobot'!$M$2:$M$1000</f>
        <v>0</v>
      </c>
    </row>
    <row r="178" spans="1:2" x14ac:dyDescent="0.25">
      <c r="A178">
        <f>'Skor Bobot'!$A$2:$A$1000</f>
        <v>0</v>
      </c>
      <c r="B178">
        <f>'Skor Bobot'!$M$2:$M$1000</f>
        <v>0</v>
      </c>
    </row>
    <row r="179" spans="1:2" x14ac:dyDescent="0.25">
      <c r="A179">
        <f>'Skor Bobot'!$A$2:$A$1000</f>
        <v>0</v>
      </c>
      <c r="B179">
        <f>'Skor Bobot'!$M$2:$M$1000</f>
        <v>0</v>
      </c>
    </row>
    <row r="180" spans="1:2" x14ac:dyDescent="0.25">
      <c r="A180">
        <f>'Skor Bobot'!$A$2:$A$1000</f>
        <v>0</v>
      </c>
      <c r="B180">
        <f>'Skor Bobot'!$M$2:$M$1000</f>
        <v>0</v>
      </c>
    </row>
    <row r="181" spans="1:2" x14ac:dyDescent="0.25">
      <c r="A181">
        <f>'Skor Bobot'!$A$2:$A$1000</f>
        <v>0</v>
      </c>
      <c r="B181">
        <f>'Skor Bobot'!$M$2:$M$1000</f>
        <v>0</v>
      </c>
    </row>
    <row r="182" spans="1:2" x14ac:dyDescent="0.25">
      <c r="A182">
        <f>'Skor Bobot'!$A$2:$A$1000</f>
        <v>0</v>
      </c>
      <c r="B182">
        <f>'Skor Bobot'!$M$2:$M$1000</f>
        <v>0</v>
      </c>
    </row>
    <row r="183" spans="1:2" x14ac:dyDescent="0.25">
      <c r="A183">
        <f>'Skor Bobot'!$A$2:$A$1000</f>
        <v>0</v>
      </c>
      <c r="B183">
        <f>'Skor Bobot'!$M$2:$M$1000</f>
        <v>0</v>
      </c>
    </row>
    <row r="184" spans="1:2" x14ac:dyDescent="0.25">
      <c r="A184">
        <f>'Skor Bobot'!$A$2:$A$1000</f>
        <v>0</v>
      </c>
      <c r="B184">
        <f>'Skor Bobot'!$M$2:$M$1000</f>
        <v>0</v>
      </c>
    </row>
    <row r="185" spans="1:2" x14ac:dyDescent="0.25">
      <c r="A185">
        <f>'Skor Bobot'!$A$2:$A$1000</f>
        <v>0</v>
      </c>
      <c r="B185">
        <f>'Skor Bobot'!$M$2:$M$1000</f>
        <v>0</v>
      </c>
    </row>
    <row r="186" spans="1:2" x14ac:dyDescent="0.25">
      <c r="A186">
        <f>'Skor Bobot'!$A$2:$A$1000</f>
        <v>0</v>
      </c>
      <c r="B186">
        <f>'Skor Bobot'!$M$2:$M$1000</f>
        <v>0</v>
      </c>
    </row>
    <row r="187" spans="1:2" x14ac:dyDescent="0.25">
      <c r="A187">
        <f>'Skor Bobot'!$A$2:$A$1000</f>
        <v>0</v>
      </c>
      <c r="B187">
        <f>'Skor Bobot'!$M$2:$M$1000</f>
        <v>0</v>
      </c>
    </row>
    <row r="188" spans="1:2" x14ac:dyDescent="0.25">
      <c r="A188">
        <f>'Skor Bobot'!$A$2:$A$1000</f>
        <v>0</v>
      </c>
      <c r="B188">
        <f>'Skor Bobot'!$M$2:$M$1000</f>
        <v>0</v>
      </c>
    </row>
    <row r="189" spans="1:2" x14ac:dyDescent="0.25">
      <c r="A189">
        <f>'Skor Bobot'!$A$2:$A$1000</f>
        <v>0</v>
      </c>
      <c r="B189">
        <f>'Skor Bobot'!$M$2:$M$1000</f>
        <v>0</v>
      </c>
    </row>
    <row r="190" spans="1:2" x14ac:dyDescent="0.25">
      <c r="A190">
        <f>'Skor Bobot'!$A$2:$A$1000</f>
        <v>0</v>
      </c>
      <c r="B190">
        <f>'Skor Bobot'!$M$2:$M$1000</f>
        <v>0</v>
      </c>
    </row>
    <row r="191" spans="1:2" x14ac:dyDescent="0.25">
      <c r="A191">
        <f>'Skor Bobot'!$A$2:$A$1000</f>
        <v>0</v>
      </c>
      <c r="B191">
        <f>'Skor Bobot'!$M$2:$M$1000</f>
        <v>0</v>
      </c>
    </row>
    <row r="192" spans="1:2" x14ac:dyDescent="0.25">
      <c r="A192">
        <f>'Skor Bobot'!$A$2:$A$1000</f>
        <v>0</v>
      </c>
      <c r="B192">
        <f>'Skor Bobot'!$M$2:$M$1000</f>
        <v>0</v>
      </c>
    </row>
    <row r="193" spans="1:2" x14ac:dyDescent="0.25">
      <c r="A193">
        <f>'Skor Bobot'!$A$2:$A$1000</f>
        <v>0</v>
      </c>
      <c r="B193">
        <f>'Skor Bobot'!$M$2:$M$1000</f>
        <v>0</v>
      </c>
    </row>
    <row r="194" spans="1:2" x14ac:dyDescent="0.25">
      <c r="A194">
        <f>'Skor Bobot'!$A$2:$A$1000</f>
        <v>0</v>
      </c>
      <c r="B194">
        <f>'Skor Bobot'!$M$2:$M$1000</f>
        <v>0</v>
      </c>
    </row>
    <row r="195" spans="1:2" x14ac:dyDescent="0.25">
      <c r="A195">
        <f>'Skor Bobot'!$A$2:$A$1000</f>
        <v>0</v>
      </c>
      <c r="B195">
        <f>'Skor Bobot'!$M$2:$M$1000</f>
        <v>0</v>
      </c>
    </row>
    <row r="196" spans="1:2" x14ac:dyDescent="0.25">
      <c r="A196">
        <f>'Skor Bobot'!$A$2:$A$1000</f>
        <v>0</v>
      </c>
      <c r="B196">
        <f>'Skor Bobot'!$M$2:$M$1000</f>
        <v>0</v>
      </c>
    </row>
    <row r="197" spans="1:2" x14ac:dyDescent="0.25">
      <c r="A197">
        <f>'Skor Bobot'!$A$2:$A$1000</f>
        <v>0</v>
      </c>
      <c r="B197">
        <f>'Skor Bobot'!$M$2:$M$1000</f>
        <v>0</v>
      </c>
    </row>
    <row r="198" spans="1:2" x14ac:dyDescent="0.25">
      <c r="A198">
        <f>'Skor Bobot'!$A$2:$A$1000</f>
        <v>0</v>
      </c>
      <c r="B198">
        <f>'Skor Bobot'!$M$2:$M$1000</f>
        <v>0</v>
      </c>
    </row>
    <row r="199" spans="1:2" x14ac:dyDescent="0.25">
      <c r="A199">
        <f>'Skor Bobot'!$A$2:$A$1000</f>
        <v>0</v>
      </c>
      <c r="B199">
        <f>'Skor Bobot'!$M$2:$M$1000</f>
        <v>0</v>
      </c>
    </row>
    <row r="200" spans="1:2" x14ac:dyDescent="0.25">
      <c r="A200">
        <f>'Skor Bobot'!$A$2:$A$1000</f>
        <v>0</v>
      </c>
      <c r="B200">
        <f>'Skor Bobot'!$M$2:$M$1000</f>
        <v>0</v>
      </c>
    </row>
    <row r="201" spans="1:2" x14ac:dyDescent="0.25">
      <c r="A201">
        <f>'Skor Bobot'!$A$2:$A$1000</f>
        <v>0</v>
      </c>
      <c r="B201">
        <f>'Skor Bobot'!$M$2:$M$1000</f>
        <v>0</v>
      </c>
    </row>
    <row r="202" spans="1:2" x14ac:dyDescent="0.25">
      <c r="A202">
        <f>'Skor Bobot'!$A$2:$A$1000</f>
        <v>0</v>
      </c>
      <c r="B202">
        <f>'Skor Bobot'!$M$2:$M$1000</f>
        <v>0</v>
      </c>
    </row>
    <row r="203" spans="1:2" x14ac:dyDescent="0.25">
      <c r="A203">
        <f>'Skor Bobot'!$A$2:$A$1000</f>
        <v>0</v>
      </c>
      <c r="B203">
        <f>'Skor Bobot'!$M$2:$M$1000</f>
        <v>0</v>
      </c>
    </row>
    <row r="204" spans="1:2" x14ac:dyDescent="0.25">
      <c r="A204">
        <f>'Skor Bobot'!$A$2:$A$1000</f>
        <v>0</v>
      </c>
      <c r="B204">
        <f>'Skor Bobot'!$M$2:$M$1000</f>
        <v>0</v>
      </c>
    </row>
    <row r="205" spans="1:2" x14ac:dyDescent="0.25">
      <c r="A205">
        <f>'Skor Bobot'!$A$2:$A$1000</f>
        <v>0</v>
      </c>
      <c r="B205">
        <f>'Skor Bobot'!$M$2:$M$1000</f>
        <v>0</v>
      </c>
    </row>
    <row r="206" spans="1:2" x14ac:dyDescent="0.25">
      <c r="A206">
        <f>'Skor Bobot'!$A$2:$A$1000</f>
        <v>0</v>
      </c>
      <c r="B206">
        <f>'Skor Bobot'!$M$2:$M$1000</f>
        <v>0</v>
      </c>
    </row>
    <row r="207" spans="1:2" x14ac:dyDescent="0.25">
      <c r="A207">
        <f>'Skor Bobot'!$A$2:$A$1000</f>
        <v>0</v>
      </c>
      <c r="B207">
        <f>'Skor Bobot'!$M$2:$M$1000</f>
        <v>0</v>
      </c>
    </row>
    <row r="208" spans="1:2" x14ac:dyDescent="0.25">
      <c r="A208">
        <f>'Skor Bobot'!$A$2:$A$1000</f>
        <v>0</v>
      </c>
      <c r="B208">
        <f>'Skor Bobot'!$M$2:$M$1000</f>
        <v>0</v>
      </c>
    </row>
    <row r="209" spans="1:2" x14ac:dyDescent="0.25">
      <c r="A209">
        <f>'Skor Bobot'!$A$2:$A$1000</f>
        <v>0</v>
      </c>
      <c r="B209">
        <f>'Skor Bobot'!$M$2:$M$1000</f>
        <v>0</v>
      </c>
    </row>
    <row r="210" spans="1:2" x14ac:dyDescent="0.25">
      <c r="A210">
        <f>'Skor Bobot'!$A$2:$A$1000</f>
        <v>0</v>
      </c>
      <c r="B210">
        <f>'Skor Bobot'!$M$2:$M$1000</f>
        <v>0</v>
      </c>
    </row>
    <row r="211" spans="1:2" x14ac:dyDescent="0.25">
      <c r="A211">
        <f>'Skor Bobot'!$A$2:$A$1000</f>
        <v>0</v>
      </c>
      <c r="B211">
        <f>'Skor Bobot'!$M$2:$M$1000</f>
        <v>0</v>
      </c>
    </row>
    <row r="212" spans="1:2" x14ac:dyDescent="0.25">
      <c r="A212">
        <f>'Skor Bobot'!$A$2:$A$1000</f>
        <v>0</v>
      </c>
      <c r="B212">
        <f>'Skor Bobot'!$M$2:$M$1000</f>
        <v>0</v>
      </c>
    </row>
    <row r="213" spans="1:2" x14ac:dyDescent="0.25">
      <c r="A213">
        <f>'Skor Bobot'!$A$2:$A$1000</f>
        <v>0</v>
      </c>
      <c r="B213">
        <f>'Skor Bobot'!$M$2:$M$1000</f>
        <v>0</v>
      </c>
    </row>
    <row r="214" spans="1:2" x14ac:dyDescent="0.25">
      <c r="A214">
        <f>'Skor Bobot'!$A$2:$A$1000</f>
        <v>0</v>
      </c>
      <c r="B214">
        <f>'Skor Bobot'!$M$2:$M$1000</f>
        <v>0</v>
      </c>
    </row>
    <row r="215" spans="1:2" x14ac:dyDescent="0.25">
      <c r="A215">
        <f>'Skor Bobot'!$A$2:$A$1000</f>
        <v>0</v>
      </c>
      <c r="B215">
        <f>'Skor Bobot'!$M$2:$M$1000</f>
        <v>0</v>
      </c>
    </row>
    <row r="216" spans="1:2" x14ac:dyDescent="0.25">
      <c r="A216">
        <f>'Skor Bobot'!$A$2:$A$1000</f>
        <v>0</v>
      </c>
      <c r="B216">
        <f>'Skor Bobot'!$M$2:$M$1000</f>
        <v>0</v>
      </c>
    </row>
    <row r="217" spans="1:2" x14ac:dyDescent="0.25">
      <c r="A217">
        <f>'Skor Bobot'!$A$2:$A$1000</f>
        <v>0</v>
      </c>
      <c r="B217">
        <f>'Skor Bobot'!$M$2:$M$1000</f>
        <v>0</v>
      </c>
    </row>
    <row r="218" spans="1:2" x14ac:dyDescent="0.25">
      <c r="A218">
        <f>'Skor Bobot'!$A$2:$A$1000</f>
        <v>0</v>
      </c>
      <c r="B218">
        <f>'Skor Bobot'!$M$2:$M$1000</f>
        <v>0</v>
      </c>
    </row>
    <row r="219" spans="1:2" x14ac:dyDescent="0.25">
      <c r="A219">
        <f>'Skor Bobot'!$A$2:$A$1000</f>
        <v>0</v>
      </c>
      <c r="B219">
        <f>'Skor Bobot'!$M$2:$M$1000</f>
        <v>0</v>
      </c>
    </row>
    <row r="220" spans="1:2" x14ac:dyDescent="0.25">
      <c r="A220">
        <f>'Skor Bobot'!$A$2:$A$1000</f>
        <v>0</v>
      </c>
      <c r="B220">
        <f>'Skor Bobot'!$M$2:$M$1000</f>
        <v>0</v>
      </c>
    </row>
    <row r="221" spans="1:2" x14ac:dyDescent="0.25">
      <c r="A221">
        <f>'Skor Bobot'!$A$2:$A$1000</f>
        <v>0</v>
      </c>
      <c r="B221">
        <f>'Skor Bobot'!$M$2:$M$1000</f>
        <v>0</v>
      </c>
    </row>
    <row r="222" spans="1:2" x14ac:dyDescent="0.25">
      <c r="A222">
        <f>'Skor Bobot'!$A$2:$A$1000</f>
        <v>0</v>
      </c>
      <c r="B222">
        <f>'Skor Bobot'!$M$2:$M$1000</f>
        <v>0</v>
      </c>
    </row>
    <row r="223" spans="1:2" x14ac:dyDescent="0.25">
      <c r="A223">
        <f>'Skor Bobot'!$A$2:$A$1000</f>
        <v>0</v>
      </c>
      <c r="B223">
        <f>'Skor Bobot'!$M$2:$M$1000</f>
        <v>0</v>
      </c>
    </row>
    <row r="224" spans="1:2" x14ac:dyDescent="0.25">
      <c r="A224">
        <f>'Skor Bobot'!$A$2:$A$1000</f>
        <v>0</v>
      </c>
      <c r="B224">
        <f>'Skor Bobot'!$M$2:$M$1000</f>
        <v>0</v>
      </c>
    </row>
    <row r="225" spans="1:2" x14ac:dyDescent="0.25">
      <c r="A225">
        <f>'Skor Bobot'!$A$2:$A$1000</f>
        <v>0</v>
      </c>
      <c r="B225">
        <f>'Skor Bobot'!$M$2:$M$1000</f>
        <v>0</v>
      </c>
    </row>
    <row r="226" spans="1:2" x14ac:dyDescent="0.25">
      <c r="A226">
        <f>'Skor Bobot'!$A$2:$A$1000</f>
        <v>0</v>
      </c>
      <c r="B226">
        <f>'Skor Bobot'!$M$2:$M$1000</f>
        <v>0</v>
      </c>
    </row>
    <row r="227" spans="1:2" x14ac:dyDescent="0.25">
      <c r="A227">
        <f>'Skor Bobot'!$A$2:$A$1000</f>
        <v>0</v>
      </c>
      <c r="B227">
        <f>'Skor Bobot'!$M$2:$M$1000</f>
        <v>0</v>
      </c>
    </row>
    <row r="228" spans="1:2" x14ac:dyDescent="0.25">
      <c r="A228">
        <f>'Skor Bobot'!$A$2:$A$1000</f>
        <v>0</v>
      </c>
      <c r="B228">
        <f>'Skor Bobot'!$M$2:$M$1000</f>
        <v>0</v>
      </c>
    </row>
    <row r="229" spans="1:2" x14ac:dyDescent="0.25">
      <c r="A229">
        <f>'Skor Bobot'!$A$2:$A$1000</f>
        <v>0</v>
      </c>
      <c r="B229">
        <f>'Skor Bobot'!$M$2:$M$1000</f>
        <v>0</v>
      </c>
    </row>
    <row r="230" spans="1:2" x14ac:dyDescent="0.25">
      <c r="A230">
        <f>'Skor Bobot'!$A$2:$A$1000</f>
        <v>0</v>
      </c>
      <c r="B230">
        <f>'Skor Bobot'!$M$2:$M$1000</f>
        <v>0</v>
      </c>
    </row>
    <row r="231" spans="1:2" x14ac:dyDescent="0.25">
      <c r="A231">
        <f>'Skor Bobot'!$A$2:$A$1000</f>
        <v>0</v>
      </c>
      <c r="B231">
        <f>'Skor Bobot'!$M$2:$M$1000</f>
        <v>0</v>
      </c>
    </row>
    <row r="232" spans="1:2" x14ac:dyDescent="0.25">
      <c r="A232">
        <f>'Skor Bobot'!$A$2:$A$1000</f>
        <v>0</v>
      </c>
      <c r="B232">
        <f>'Skor Bobot'!$M$2:$M$1000</f>
        <v>0</v>
      </c>
    </row>
    <row r="233" spans="1:2" x14ac:dyDescent="0.25">
      <c r="A233">
        <f>'Skor Bobot'!$A$2:$A$1000</f>
        <v>0</v>
      </c>
      <c r="B233">
        <f>'Skor Bobot'!$M$2:$M$1000</f>
        <v>0</v>
      </c>
    </row>
    <row r="234" spans="1:2" x14ac:dyDescent="0.25">
      <c r="A234">
        <f>'Skor Bobot'!$A$2:$A$1000</f>
        <v>0</v>
      </c>
      <c r="B234">
        <f>'Skor Bobot'!$M$2:$M$1000</f>
        <v>0</v>
      </c>
    </row>
    <row r="235" spans="1:2" x14ac:dyDescent="0.25">
      <c r="A235">
        <f>'Skor Bobot'!$A$2:$A$1000</f>
        <v>0</v>
      </c>
      <c r="B235">
        <f>'Skor Bobot'!$M$2:$M$1000</f>
        <v>0</v>
      </c>
    </row>
    <row r="236" spans="1:2" x14ac:dyDescent="0.25">
      <c r="A236">
        <f>'Skor Bobot'!$A$2:$A$1000</f>
        <v>0</v>
      </c>
      <c r="B236">
        <f>'Skor Bobot'!$M$2:$M$1000</f>
        <v>0</v>
      </c>
    </row>
    <row r="237" spans="1:2" x14ac:dyDescent="0.25">
      <c r="A237">
        <f>'Skor Bobot'!$A$2:$A$1000</f>
        <v>0</v>
      </c>
      <c r="B237">
        <f>'Skor Bobot'!$M$2:$M$1000</f>
        <v>0</v>
      </c>
    </row>
    <row r="238" spans="1:2" x14ac:dyDescent="0.25">
      <c r="A238">
        <f>'Skor Bobot'!$A$2:$A$1000</f>
        <v>0</v>
      </c>
      <c r="B238">
        <f>'Skor Bobot'!$M$2:$M$1000</f>
        <v>0</v>
      </c>
    </row>
    <row r="239" spans="1:2" x14ac:dyDescent="0.25">
      <c r="A239">
        <f>'Skor Bobot'!$A$2:$A$1000</f>
        <v>0</v>
      </c>
      <c r="B239">
        <f>'Skor Bobot'!$M$2:$M$1000</f>
        <v>0</v>
      </c>
    </row>
    <row r="240" spans="1:2" x14ac:dyDescent="0.25">
      <c r="A240">
        <f>'Skor Bobot'!$A$2:$A$1000</f>
        <v>0</v>
      </c>
      <c r="B240">
        <f>'Skor Bobot'!$M$2:$M$1000</f>
        <v>0</v>
      </c>
    </row>
    <row r="241" spans="1:2" x14ac:dyDescent="0.25">
      <c r="A241">
        <f>'Skor Bobot'!$A$2:$A$1000</f>
        <v>0</v>
      </c>
      <c r="B241">
        <f>'Skor Bobot'!$M$2:$M$1000</f>
        <v>0</v>
      </c>
    </row>
    <row r="242" spans="1:2" x14ac:dyDescent="0.25">
      <c r="A242">
        <f>'Skor Bobot'!$A$2:$A$1000</f>
        <v>0</v>
      </c>
      <c r="B242">
        <f>'Skor Bobot'!$M$2:$M$1000</f>
        <v>0</v>
      </c>
    </row>
    <row r="243" spans="1:2" x14ac:dyDescent="0.25">
      <c r="A243">
        <f>'Skor Bobot'!$A$2:$A$1000</f>
        <v>0</v>
      </c>
      <c r="B243">
        <f>'Skor Bobot'!$M$2:$M$1000</f>
        <v>0</v>
      </c>
    </row>
    <row r="244" spans="1:2" x14ac:dyDescent="0.25">
      <c r="A244">
        <f>'Skor Bobot'!$A$2:$A$1000</f>
        <v>0</v>
      </c>
      <c r="B244">
        <f>'Skor Bobot'!$M$2:$M$1000</f>
        <v>0</v>
      </c>
    </row>
    <row r="245" spans="1:2" x14ac:dyDescent="0.25">
      <c r="A245">
        <f>'Skor Bobot'!$A$2:$A$1000</f>
        <v>0</v>
      </c>
      <c r="B245">
        <f>'Skor Bobot'!$M$2:$M$1000</f>
        <v>0</v>
      </c>
    </row>
    <row r="246" spans="1:2" x14ac:dyDescent="0.25">
      <c r="A246">
        <f>'Skor Bobot'!$A$2:$A$1000</f>
        <v>0</v>
      </c>
      <c r="B246">
        <f>'Skor Bobot'!$M$2:$M$1000</f>
        <v>0</v>
      </c>
    </row>
    <row r="247" spans="1:2" x14ac:dyDescent="0.25">
      <c r="A247">
        <f>'Skor Bobot'!$A$2:$A$1000</f>
        <v>0</v>
      </c>
      <c r="B247">
        <f>'Skor Bobot'!$M$2:$M$1000</f>
        <v>0</v>
      </c>
    </row>
    <row r="248" spans="1:2" x14ac:dyDescent="0.25">
      <c r="A248">
        <f>'Skor Bobot'!$A$2:$A$1000</f>
        <v>0</v>
      </c>
      <c r="B248">
        <f>'Skor Bobot'!$M$2:$M$1000</f>
        <v>0</v>
      </c>
    </row>
    <row r="249" spans="1:2" x14ac:dyDescent="0.25">
      <c r="A249">
        <f>'Skor Bobot'!$A$2:$A$1000</f>
        <v>0</v>
      </c>
      <c r="B249">
        <f>'Skor Bobot'!$M$2:$M$1000</f>
        <v>0</v>
      </c>
    </row>
    <row r="250" spans="1:2" x14ac:dyDescent="0.25">
      <c r="A250">
        <f>'Skor Bobot'!$A$2:$A$1000</f>
        <v>0</v>
      </c>
      <c r="B250">
        <f>'Skor Bobot'!$M$2:$M$1000</f>
        <v>0</v>
      </c>
    </row>
    <row r="251" spans="1:2" x14ac:dyDescent="0.25">
      <c r="A251">
        <f>'Skor Bobot'!$A$2:$A$1000</f>
        <v>0</v>
      </c>
      <c r="B251">
        <f>'Skor Bobot'!$M$2:$M$1000</f>
        <v>0</v>
      </c>
    </row>
    <row r="252" spans="1:2" x14ac:dyDescent="0.25">
      <c r="A252">
        <f>'Skor Bobot'!$A$2:$A$1000</f>
        <v>0</v>
      </c>
      <c r="B252">
        <f>'Skor Bobot'!$M$2:$M$1000</f>
        <v>0</v>
      </c>
    </row>
    <row r="253" spans="1:2" x14ac:dyDescent="0.25">
      <c r="A253">
        <f>'Skor Bobot'!$A$2:$A$1000</f>
        <v>0</v>
      </c>
      <c r="B253">
        <f>'Skor Bobot'!$M$2:$M$1000</f>
        <v>0</v>
      </c>
    </row>
    <row r="254" spans="1:2" x14ac:dyDescent="0.25">
      <c r="A254">
        <f>'Skor Bobot'!$A$2:$A$1000</f>
        <v>0</v>
      </c>
      <c r="B254">
        <f>'Skor Bobot'!$M$2:$M$1000</f>
        <v>0</v>
      </c>
    </row>
    <row r="255" spans="1:2" x14ac:dyDescent="0.25">
      <c r="A255">
        <f>'Skor Bobot'!$A$2:$A$1000</f>
        <v>0</v>
      </c>
      <c r="B255">
        <f>'Skor Bobot'!$M$2:$M$1000</f>
        <v>0</v>
      </c>
    </row>
    <row r="256" spans="1:2" x14ac:dyDescent="0.25">
      <c r="A256">
        <f>'Skor Bobot'!$A$2:$A$1000</f>
        <v>0</v>
      </c>
      <c r="B256">
        <f>'Skor Bobot'!$M$2:$M$1000</f>
        <v>0</v>
      </c>
    </row>
    <row r="257" spans="1:2" x14ac:dyDescent="0.25">
      <c r="A257">
        <f>'Skor Bobot'!$A$2:$A$1000</f>
        <v>0</v>
      </c>
      <c r="B257">
        <f>'Skor Bobot'!$M$2:$M$1000</f>
        <v>0</v>
      </c>
    </row>
    <row r="258" spans="1:2" x14ac:dyDescent="0.25">
      <c r="A258">
        <f>'Skor Bobot'!$A$2:$A$1000</f>
        <v>0</v>
      </c>
      <c r="B258">
        <f>'Skor Bobot'!$M$2:$M$1000</f>
        <v>0</v>
      </c>
    </row>
    <row r="259" spans="1:2" x14ac:dyDescent="0.25">
      <c r="A259">
        <f>'Skor Bobot'!$A$2:$A$1000</f>
        <v>0</v>
      </c>
      <c r="B259">
        <f>'Skor Bobot'!$M$2:$M$1000</f>
        <v>0</v>
      </c>
    </row>
    <row r="260" spans="1:2" x14ac:dyDescent="0.25">
      <c r="A260">
        <f>'Skor Bobot'!$A$2:$A$1000</f>
        <v>0</v>
      </c>
      <c r="B260">
        <f>'Skor Bobot'!$M$2:$M$1000</f>
        <v>0</v>
      </c>
    </row>
    <row r="261" spans="1:2" x14ac:dyDescent="0.25">
      <c r="A261">
        <f>'Skor Bobot'!$A$2:$A$1000</f>
        <v>0</v>
      </c>
      <c r="B261">
        <f>'Skor Bobot'!$M$2:$M$1000</f>
        <v>0</v>
      </c>
    </row>
    <row r="262" spans="1:2" x14ac:dyDescent="0.25">
      <c r="A262">
        <f>'Skor Bobot'!$A$2:$A$1000</f>
        <v>0</v>
      </c>
      <c r="B262">
        <f>'Skor Bobot'!$M$2:$M$1000</f>
        <v>0</v>
      </c>
    </row>
    <row r="263" spans="1:2" x14ac:dyDescent="0.25">
      <c r="A263">
        <f>'Skor Bobot'!$A$2:$A$1000</f>
        <v>0</v>
      </c>
      <c r="B263">
        <f>'Skor Bobot'!$M$2:$M$1000</f>
        <v>0</v>
      </c>
    </row>
    <row r="264" spans="1:2" x14ac:dyDescent="0.25">
      <c r="A264">
        <f>'Skor Bobot'!$A$2:$A$1000</f>
        <v>0</v>
      </c>
      <c r="B264">
        <f>'Skor Bobot'!$M$2:$M$1000</f>
        <v>0</v>
      </c>
    </row>
    <row r="265" spans="1:2" x14ac:dyDescent="0.25">
      <c r="A265">
        <f>'Skor Bobot'!$A$2:$A$1000</f>
        <v>0</v>
      </c>
      <c r="B265">
        <f>'Skor Bobot'!$M$2:$M$1000</f>
        <v>0</v>
      </c>
    </row>
    <row r="266" spans="1:2" x14ac:dyDescent="0.25">
      <c r="A266">
        <f>'Skor Bobot'!$A$2:$A$1000</f>
        <v>0</v>
      </c>
      <c r="B266">
        <f>'Skor Bobot'!$M$2:$M$1000</f>
        <v>0</v>
      </c>
    </row>
    <row r="267" spans="1:2" x14ac:dyDescent="0.25">
      <c r="A267">
        <f>'Skor Bobot'!$A$2:$A$1000</f>
        <v>0</v>
      </c>
      <c r="B267">
        <f>'Skor Bobot'!$M$2:$M$1000</f>
        <v>0</v>
      </c>
    </row>
    <row r="268" spans="1:2" x14ac:dyDescent="0.25">
      <c r="A268">
        <f>'Skor Bobot'!$A$2:$A$1000</f>
        <v>0</v>
      </c>
      <c r="B268">
        <f>'Skor Bobot'!$M$2:$M$1000</f>
        <v>0</v>
      </c>
    </row>
    <row r="269" spans="1:2" x14ac:dyDescent="0.25">
      <c r="A269">
        <f>'Skor Bobot'!$A$2:$A$1000</f>
        <v>0</v>
      </c>
      <c r="B269">
        <f>'Skor Bobot'!$M$2:$M$1000</f>
        <v>0</v>
      </c>
    </row>
    <row r="270" spans="1:2" x14ac:dyDescent="0.25">
      <c r="A270">
        <f>'Skor Bobot'!$A$2:$A$1000</f>
        <v>0</v>
      </c>
      <c r="B270">
        <f>'Skor Bobot'!$M$2:$M$1000</f>
        <v>0</v>
      </c>
    </row>
    <row r="271" spans="1:2" x14ac:dyDescent="0.25">
      <c r="A271">
        <f>'Skor Bobot'!$A$2:$A$1000</f>
        <v>0</v>
      </c>
      <c r="B271">
        <f>'Skor Bobot'!$M$2:$M$1000</f>
        <v>0</v>
      </c>
    </row>
    <row r="272" spans="1:2" x14ac:dyDescent="0.25">
      <c r="A272">
        <f>'Skor Bobot'!$A$2:$A$1000</f>
        <v>0</v>
      </c>
      <c r="B272">
        <f>'Skor Bobot'!$M$2:$M$1000</f>
        <v>0</v>
      </c>
    </row>
    <row r="273" spans="1:2" x14ac:dyDescent="0.25">
      <c r="A273">
        <f>'Skor Bobot'!$A$2:$A$1000</f>
        <v>0</v>
      </c>
      <c r="B273">
        <f>'Skor Bobot'!$M$2:$M$1000</f>
        <v>0</v>
      </c>
    </row>
    <row r="274" spans="1:2" x14ac:dyDescent="0.25">
      <c r="A274">
        <f>'Skor Bobot'!$A$2:$A$1000</f>
        <v>0</v>
      </c>
      <c r="B274">
        <f>'Skor Bobot'!$M$2:$M$1000</f>
        <v>0</v>
      </c>
    </row>
    <row r="275" spans="1:2" x14ac:dyDescent="0.25">
      <c r="A275">
        <f>'Skor Bobot'!$A$2:$A$1000</f>
        <v>0</v>
      </c>
      <c r="B275">
        <f>'Skor Bobot'!$M$2:$M$1000</f>
        <v>0</v>
      </c>
    </row>
    <row r="276" spans="1:2" x14ac:dyDescent="0.25">
      <c r="A276">
        <f>'Skor Bobot'!$A$2:$A$1000</f>
        <v>0</v>
      </c>
      <c r="B276">
        <f>'Skor Bobot'!$M$2:$M$1000</f>
        <v>0</v>
      </c>
    </row>
    <row r="277" spans="1:2" x14ac:dyDescent="0.25">
      <c r="A277">
        <f>'Skor Bobot'!$A$2:$A$1000</f>
        <v>0</v>
      </c>
      <c r="B277">
        <f>'Skor Bobot'!$M$2:$M$1000</f>
        <v>0</v>
      </c>
    </row>
    <row r="278" spans="1:2" x14ac:dyDescent="0.25">
      <c r="A278">
        <f>'Skor Bobot'!$A$2:$A$1000</f>
        <v>0</v>
      </c>
      <c r="B278">
        <f>'Skor Bobot'!$M$2:$M$1000</f>
        <v>0</v>
      </c>
    </row>
    <row r="279" spans="1:2" x14ac:dyDescent="0.25">
      <c r="A279">
        <f>'Skor Bobot'!$A$2:$A$1000</f>
        <v>0</v>
      </c>
      <c r="B279">
        <f>'Skor Bobot'!$M$2:$M$1000</f>
        <v>0</v>
      </c>
    </row>
    <row r="280" spans="1:2" x14ac:dyDescent="0.25">
      <c r="A280">
        <f>'Skor Bobot'!$A$2:$A$1000</f>
        <v>0</v>
      </c>
      <c r="B280">
        <f>'Skor Bobot'!$M$2:$M$1000</f>
        <v>0</v>
      </c>
    </row>
    <row r="281" spans="1:2" x14ac:dyDescent="0.25">
      <c r="A281">
        <f>'Skor Bobot'!$A$2:$A$1000</f>
        <v>0</v>
      </c>
      <c r="B281">
        <f>'Skor Bobot'!$M$2:$M$1000</f>
        <v>0</v>
      </c>
    </row>
    <row r="282" spans="1:2" x14ac:dyDescent="0.25">
      <c r="A282">
        <f>'Skor Bobot'!$A$2:$A$1000</f>
        <v>0</v>
      </c>
      <c r="B282">
        <f>'Skor Bobot'!$M$2:$M$1000</f>
        <v>0</v>
      </c>
    </row>
    <row r="283" spans="1:2" x14ac:dyDescent="0.25">
      <c r="A283">
        <f>'Skor Bobot'!$A$2:$A$1000</f>
        <v>0</v>
      </c>
      <c r="B283">
        <f>'Skor Bobot'!$M$2:$M$1000</f>
        <v>0</v>
      </c>
    </row>
    <row r="284" spans="1:2" x14ac:dyDescent="0.25">
      <c r="A284">
        <f>'Skor Bobot'!$A$2:$A$1000</f>
        <v>0</v>
      </c>
      <c r="B284">
        <f>'Skor Bobot'!$M$2:$M$1000</f>
        <v>0</v>
      </c>
    </row>
    <row r="285" spans="1:2" x14ac:dyDescent="0.25">
      <c r="A285">
        <f>'Skor Bobot'!$A$2:$A$1000</f>
        <v>0</v>
      </c>
      <c r="B285">
        <f>'Skor Bobot'!$M$2:$M$1000</f>
        <v>0</v>
      </c>
    </row>
    <row r="286" spans="1:2" x14ac:dyDescent="0.25">
      <c r="A286">
        <f>'Skor Bobot'!$A$2:$A$1000</f>
        <v>0</v>
      </c>
      <c r="B286">
        <f>'Skor Bobot'!$M$2:$M$1000</f>
        <v>0</v>
      </c>
    </row>
    <row r="287" spans="1:2" x14ac:dyDescent="0.25">
      <c r="A287">
        <f>'Skor Bobot'!$A$2:$A$1000</f>
        <v>0</v>
      </c>
      <c r="B287">
        <f>'Skor Bobot'!$M$2:$M$1000</f>
        <v>0</v>
      </c>
    </row>
    <row r="288" spans="1:2" x14ac:dyDescent="0.25">
      <c r="A288">
        <f>'Skor Bobot'!$A$2:$A$1000</f>
        <v>0</v>
      </c>
      <c r="B288">
        <f>'Skor Bobot'!$M$2:$M$1000</f>
        <v>0</v>
      </c>
    </row>
    <row r="289" spans="1:2" x14ac:dyDescent="0.25">
      <c r="A289">
        <f>'Skor Bobot'!$A$2:$A$1000</f>
        <v>0</v>
      </c>
      <c r="B289">
        <f>'Skor Bobot'!$M$2:$M$1000</f>
        <v>0</v>
      </c>
    </row>
    <row r="290" spans="1:2" x14ac:dyDescent="0.25">
      <c r="A290">
        <f>'Skor Bobot'!$A$2:$A$1000</f>
        <v>0</v>
      </c>
      <c r="B290">
        <f>'Skor Bobot'!$M$2:$M$1000</f>
        <v>0</v>
      </c>
    </row>
    <row r="291" spans="1:2" x14ac:dyDescent="0.25">
      <c r="A291">
        <f>'Skor Bobot'!$A$2:$A$1000</f>
        <v>0</v>
      </c>
      <c r="B291">
        <f>'Skor Bobot'!$M$2:$M$1000</f>
        <v>0</v>
      </c>
    </row>
    <row r="292" spans="1:2" x14ac:dyDescent="0.25">
      <c r="A292">
        <f>'Skor Bobot'!$A$2:$A$1000</f>
        <v>0</v>
      </c>
      <c r="B292">
        <f>'Skor Bobot'!$M$2:$M$1000</f>
        <v>0</v>
      </c>
    </row>
    <row r="293" spans="1:2" x14ac:dyDescent="0.25">
      <c r="A293">
        <f>'Skor Bobot'!$A$2:$A$1000</f>
        <v>0</v>
      </c>
      <c r="B293">
        <f>'Skor Bobot'!$M$2:$M$1000</f>
        <v>0</v>
      </c>
    </row>
    <row r="294" spans="1:2" x14ac:dyDescent="0.25">
      <c r="A294">
        <f>'Skor Bobot'!$A$2:$A$1000</f>
        <v>0</v>
      </c>
      <c r="B294">
        <f>'Skor Bobot'!$M$2:$M$1000</f>
        <v>0</v>
      </c>
    </row>
    <row r="295" spans="1:2" x14ac:dyDescent="0.25">
      <c r="A295">
        <f>'Skor Bobot'!$A$2:$A$1000</f>
        <v>0</v>
      </c>
      <c r="B295">
        <f>'Skor Bobot'!$M$2:$M$1000</f>
        <v>0</v>
      </c>
    </row>
    <row r="296" spans="1:2" x14ac:dyDescent="0.25">
      <c r="A296">
        <f>'Skor Bobot'!$A$2:$A$1000</f>
        <v>0</v>
      </c>
      <c r="B296">
        <f>'Skor Bobot'!$M$2:$M$1000</f>
        <v>0</v>
      </c>
    </row>
    <row r="297" spans="1:2" x14ac:dyDescent="0.25">
      <c r="A297">
        <f>'Skor Bobot'!$A$2:$A$1000</f>
        <v>0</v>
      </c>
      <c r="B297">
        <f>'Skor Bobot'!$M$2:$M$1000</f>
        <v>0</v>
      </c>
    </row>
    <row r="298" spans="1:2" x14ac:dyDescent="0.25">
      <c r="A298">
        <f>'Skor Bobot'!$A$2:$A$1000</f>
        <v>0</v>
      </c>
      <c r="B298">
        <f>'Skor Bobot'!$M$2:$M$1000</f>
        <v>0</v>
      </c>
    </row>
    <row r="299" spans="1:2" x14ac:dyDescent="0.25">
      <c r="A299">
        <f>'Skor Bobot'!$A$2:$A$1000</f>
        <v>0</v>
      </c>
      <c r="B299">
        <f>'Skor Bobot'!$M$2:$M$1000</f>
        <v>0</v>
      </c>
    </row>
    <row r="300" spans="1:2" x14ac:dyDescent="0.25">
      <c r="A300">
        <f>'Skor Bobot'!$A$2:$A$1000</f>
        <v>0</v>
      </c>
      <c r="B300">
        <f>'Skor Bobot'!$M$2:$M$1000</f>
        <v>0</v>
      </c>
    </row>
    <row r="301" spans="1:2" x14ac:dyDescent="0.25">
      <c r="A301">
        <f>'Skor Bobot'!$A$2:$A$1000</f>
        <v>0</v>
      </c>
      <c r="B301">
        <f>'Skor Bobot'!$M$2:$M$1000</f>
        <v>0</v>
      </c>
    </row>
    <row r="302" spans="1:2" x14ac:dyDescent="0.25">
      <c r="A302">
        <f>'Skor Bobot'!$A$2:$A$1000</f>
        <v>0</v>
      </c>
      <c r="B302">
        <f>'Skor Bobot'!$M$2:$M$1000</f>
        <v>0</v>
      </c>
    </row>
    <row r="303" spans="1:2" x14ac:dyDescent="0.25">
      <c r="A303">
        <f>'Skor Bobot'!$A$2:$A$1000</f>
        <v>0</v>
      </c>
      <c r="B303">
        <f>'Skor Bobot'!$M$2:$M$1000</f>
        <v>0</v>
      </c>
    </row>
    <row r="304" spans="1:2" x14ac:dyDescent="0.25">
      <c r="A304">
        <f>'Skor Bobot'!$A$2:$A$1000</f>
        <v>0</v>
      </c>
      <c r="B304">
        <f>'Skor Bobot'!$M$2:$M$1000</f>
        <v>0</v>
      </c>
    </row>
    <row r="305" spans="1:2" x14ac:dyDescent="0.25">
      <c r="A305">
        <f>'Skor Bobot'!$A$2:$A$1000</f>
        <v>0</v>
      </c>
      <c r="B305">
        <f>'Skor Bobot'!$M$2:$M$1000</f>
        <v>0</v>
      </c>
    </row>
    <row r="306" spans="1:2" x14ac:dyDescent="0.25">
      <c r="A306">
        <f>'Skor Bobot'!$A$2:$A$1000</f>
        <v>0</v>
      </c>
      <c r="B306">
        <f>'Skor Bobot'!$M$2:$M$1000</f>
        <v>0</v>
      </c>
    </row>
    <row r="307" spans="1:2" x14ac:dyDescent="0.25">
      <c r="A307">
        <f>'Skor Bobot'!$A$2:$A$1000</f>
        <v>0</v>
      </c>
      <c r="B307">
        <f>'Skor Bobot'!$M$2:$M$1000</f>
        <v>0</v>
      </c>
    </row>
    <row r="308" spans="1:2" x14ac:dyDescent="0.25">
      <c r="A308">
        <f>'Skor Bobot'!$A$2:$A$1000</f>
        <v>0</v>
      </c>
      <c r="B308">
        <f>'Skor Bobot'!$M$2:$M$1000</f>
        <v>0</v>
      </c>
    </row>
    <row r="309" spans="1:2" x14ac:dyDescent="0.25">
      <c r="A309">
        <f>'Skor Bobot'!$A$2:$A$1000</f>
        <v>0</v>
      </c>
      <c r="B309">
        <f>'Skor Bobot'!$M$2:$M$1000</f>
        <v>0</v>
      </c>
    </row>
    <row r="310" spans="1:2" x14ac:dyDescent="0.25">
      <c r="A310">
        <f>'Skor Bobot'!$A$2:$A$1000</f>
        <v>0</v>
      </c>
      <c r="B310">
        <f>'Skor Bobot'!$M$2:$M$1000</f>
        <v>0</v>
      </c>
    </row>
    <row r="311" spans="1:2" x14ac:dyDescent="0.25">
      <c r="A311">
        <f>'Skor Bobot'!$A$2:$A$1000</f>
        <v>0</v>
      </c>
      <c r="B311">
        <f>'Skor Bobot'!$M$2:$M$1000</f>
        <v>0</v>
      </c>
    </row>
    <row r="312" spans="1:2" x14ac:dyDescent="0.25">
      <c r="A312">
        <f>'Skor Bobot'!$A$2:$A$1000</f>
        <v>0</v>
      </c>
      <c r="B312">
        <f>'Skor Bobot'!$M$2:$M$1000</f>
        <v>0</v>
      </c>
    </row>
    <row r="313" spans="1:2" x14ac:dyDescent="0.25">
      <c r="A313">
        <f>'Skor Bobot'!$A$2:$A$1000</f>
        <v>0</v>
      </c>
      <c r="B313">
        <f>'Skor Bobot'!$M$2:$M$1000</f>
        <v>0</v>
      </c>
    </row>
    <row r="314" spans="1:2" x14ac:dyDescent="0.25">
      <c r="A314">
        <f>'Skor Bobot'!$A$2:$A$1000</f>
        <v>0</v>
      </c>
      <c r="B314">
        <f>'Skor Bobot'!$M$2:$M$1000</f>
        <v>0</v>
      </c>
    </row>
    <row r="315" spans="1:2" x14ac:dyDescent="0.25">
      <c r="A315">
        <f>'Skor Bobot'!$A$2:$A$1000</f>
        <v>0</v>
      </c>
      <c r="B315">
        <f>'Skor Bobot'!$M$2:$M$1000</f>
        <v>0</v>
      </c>
    </row>
    <row r="316" spans="1:2" x14ac:dyDescent="0.25">
      <c r="A316">
        <f>'Skor Bobot'!$A$2:$A$1000</f>
        <v>0</v>
      </c>
      <c r="B316">
        <f>'Skor Bobot'!$M$2:$M$1000</f>
        <v>0</v>
      </c>
    </row>
    <row r="317" spans="1:2" x14ac:dyDescent="0.25">
      <c r="A317">
        <f>'Skor Bobot'!$A$2:$A$1000</f>
        <v>0</v>
      </c>
      <c r="B317">
        <f>'Skor Bobot'!$M$2:$M$1000</f>
        <v>0</v>
      </c>
    </row>
    <row r="318" spans="1:2" x14ac:dyDescent="0.25">
      <c r="A318">
        <f>'Skor Bobot'!$A$2:$A$1000</f>
        <v>0</v>
      </c>
      <c r="B318">
        <f>'Skor Bobot'!$M$2:$M$1000</f>
        <v>0</v>
      </c>
    </row>
    <row r="319" spans="1:2" x14ac:dyDescent="0.25">
      <c r="A319">
        <f>'Skor Bobot'!$A$2:$A$1000</f>
        <v>0</v>
      </c>
      <c r="B319">
        <f>'Skor Bobot'!$M$2:$M$1000</f>
        <v>0</v>
      </c>
    </row>
    <row r="320" spans="1:2" x14ac:dyDescent="0.25">
      <c r="A320">
        <f>'Skor Bobot'!$A$2:$A$1000</f>
        <v>0</v>
      </c>
      <c r="B320">
        <f>'Skor Bobot'!$M$2:$M$1000</f>
        <v>0</v>
      </c>
    </row>
    <row r="321" spans="1:2" x14ac:dyDescent="0.25">
      <c r="A321">
        <f>'Skor Bobot'!$A$2:$A$1000</f>
        <v>0</v>
      </c>
      <c r="B321">
        <f>'Skor Bobot'!$M$2:$M$1000</f>
        <v>0</v>
      </c>
    </row>
    <row r="322" spans="1:2" x14ac:dyDescent="0.25">
      <c r="A322">
        <f>'Skor Bobot'!$A$2:$A$1000</f>
        <v>0</v>
      </c>
      <c r="B322">
        <f>'Skor Bobot'!$M$2:$M$1000</f>
        <v>0</v>
      </c>
    </row>
    <row r="323" spans="1:2" x14ac:dyDescent="0.25">
      <c r="A323">
        <f>'Skor Bobot'!$A$2:$A$1000</f>
        <v>0</v>
      </c>
      <c r="B323">
        <f>'Skor Bobot'!$M$2:$M$1000</f>
        <v>0</v>
      </c>
    </row>
    <row r="324" spans="1:2" x14ac:dyDescent="0.25">
      <c r="A324">
        <f>'Skor Bobot'!$A$2:$A$1000</f>
        <v>0</v>
      </c>
      <c r="B324">
        <f>'Skor Bobot'!$M$2:$M$1000</f>
        <v>0</v>
      </c>
    </row>
    <row r="325" spans="1:2" x14ac:dyDescent="0.25">
      <c r="A325">
        <f>'Skor Bobot'!$A$2:$A$1000</f>
        <v>0</v>
      </c>
      <c r="B325">
        <f>'Skor Bobot'!$M$2:$M$1000</f>
        <v>0</v>
      </c>
    </row>
    <row r="326" spans="1:2" x14ac:dyDescent="0.25">
      <c r="A326">
        <f>'Skor Bobot'!$A$2:$A$1000</f>
        <v>0</v>
      </c>
      <c r="B326">
        <f>'Skor Bobot'!$M$2:$M$1000</f>
        <v>0</v>
      </c>
    </row>
    <row r="327" spans="1:2" x14ac:dyDescent="0.25">
      <c r="A327">
        <f>'Skor Bobot'!$A$2:$A$1000</f>
        <v>0</v>
      </c>
      <c r="B327">
        <f>'Skor Bobot'!$M$2:$M$1000</f>
        <v>0</v>
      </c>
    </row>
    <row r="328" spans="1:2" x14ac:dyDescent="0.25">
      <c r="A328">
        <f>'Skor Bobot'!$A$2:$A$1000</f>
        <v>0</v>
      </c>
      <c r="B328">
        <f>'Skor Bobot'!$M$2:$M$1000</f>
        <v>0</v>
      </c>
    </row>
    <row r="329" spans="1:2" x14ac:dyDescent="0.25">
      <c r="A329">
        <f>'Skor Bobot'!$A$2:$A$1000</f>
        <v>0</v>
      </c>
      <c r="B329">
        <f>'Skor Bobot'!$M$2:$M$1000</f>
        <v>0</v>
      </c>
    </row>
    <row r="330" spans="1:2" x14ac:dyDescent="0.25">
      <c r="A330">
        <f>'Skor Bobot'!$A$2:$A$1000</f>
        <v>0</v>
      </c>
      <c r="B330">
        <f>'Skor Bobot'!$M$2:$M$1000</f>
        <v>0</v>
      </c>
    </row>
    <row r="331" spans="1:2" x14ac:dyDescent="0.25">
      <c r="A331">
        <f>'Skor Bobot'!$A$2:$A$1000</f>
        <v>0</v>
      </c>
      <c r="B331">
        <f>'Skor Bobot'!$M$2:$M$1000</f>
        <v>0</v>
      </c>
    </row>
    <row r="332" spans="1:2" x14ac:dyDescent="0.25">
      <c r="A332">
        <f>'Skor Bobot'!$A$2:$A$1000</f>
        <v>0</v>
      </c>
      <c r="B332">
        <f>'Skor Bobot'!$M$2:$M$1000</f>
        <v>0</v>
      </c>
    </row>
    <row r="333" spans="1:2" x14ac:dyDescent="0.25">
      <c r="A333">
        <f>'Skor Bobot'!$A$2:$A$1000</f>
        <v>0</v>
      </c>
      <c r="B333">
        <f>'Skor Bobot'!$M$2:$M$1000</f>
        <v>0</v>
      </c>
    </row>
    <row r="334" spans="1:2" x14ac:dyDescent="0.25">
      <c r="A334">
        <f>'Skor Bobot'!$A$2:$A$1000</f>
        <v>0</v>
      </c>
      <c r="B334">
        <f>'Skor Bobot'!$M$2:$M$1000</f>
        <v>0</v>
      </c>
    </row>
    <row r="335" spans="1:2" x14ac:dyDescent="0.25">
      <c r="A335">
        <f>'Skor Bobot'!$A$2:$A$1000</f>
        <v>0</v>
      </c>
      <c r="B335">
        <f>'Skor Bobot'!$M$2:$M$1000</f>
        <v>0</v>
      </c>
    </row>
    <row r="336" spans="1:2" x14ac:dyDescent="0.25">
      <c r="A336">
        <f>'Skor Bobot'!$A$2:$A$1000</f>
        <v>0</v>
      </c>
      <c r="B336">
        <f>'Skor Bobot'!$M$2:$M$1000</f>
        <v>0</v>
      </c>
    </row>
    <row r="337" spans="1:2" x14ac:dyDescent="0.25">
      <c r="A337">
        <f>'Skor Bobot'!$A$2:$A$1000</f>
        <v>0</v>
      </c>
      <c r="B337">
        <f>'Skor Bobot'!$M$2:$M$1000</f>
        <v>0</v>
      </c>
    </row>
    <row r="338" spans="1:2" x14ac:dyDescent="0.25">
      <c r="A338">
        <f>'Skor Bobot'!$A$2:$A$1000</f>
        <v>0</v>
      </c>
      <c r="B338">
        <f>'Skor Bobot'!$M$2:$M$1000</f>
        <v>0</v>
      </c>
    </row>
    <row r="339" spans="1:2" x14ac:dyDescent="0.25">
      <c r="A339">
        <f>'Skor Bobot'!$A$2:$A$1000</f>
        <v>0</v>
      </c>
      <c r="B339">
        <f>'Skor Bobot'!$M$2:$M$1000</f>
        <v>0</v>
      </c>
    </row>
    <row r="340" spans="1:2" x14ac:dyDescent="0.25">
      <c r="A340">
        <f>'Skor Bobot'!$A$2:$A$1000</f>
        <v>0</v>
      </c>
      <c r="B340">
        <f>'Skor Bobot'!$M$2:$M$1000</f>
        <v>0</v>
      </c>
    </row>
    <row r="341" spans="1:2" x14ac:dyDescent="0.25">
      <c r="A341">
        <f>'Skor Bobot'!$A$2:$A$1000</f>
        <v>0</v>
      </c>
      <c r="B341">
        <f>'Skor Bobot'!$M$2:$M$1000</f>
        <v>0</v>
      </c>
    </row>
    <row r="342" spans="1:2" x14ac:dyDescent="0.25">
      <c r="A342">
        <f>'Skor Bobot'!$A$2:$A$1000</f>
        <v>0</v>
      </c>
      <c r="B342">
        <f>'Skor Bobot'!$M$2:$M$1000</f>
        <v>0</v>
      </c>
    </row>
    <row r="343" spans="1:2" x14ac:dyDescent="0.25">
      <c r="A343">
        <f>'Skor Bobot'!$A$2:$A$1000</f>
        <v>0</v>
      </c>
      <c r="B343">
        <f>'Skor Bobot'!$M$2:$M$1000</f>
        <v>0</v>
      </c>
    </row>
    <row r="344" spans="1:2" x14ac:dyDescent="0.25">
      <c r="A344">
        <f>'Skor Bobot'!$A$2:$A$1000</f>
        <v>0</v>
      </c>
      <c r="B344">
        <f>'Skor Bobot'!$M$2:$M$1000</f>
        <v>0</v>
      </c>
    </row>
    <row r="345" spans="1:2" x14ac:dyDescent="0.25">
      <c r="A345">
        <f>'Skor Bobot'!$A$2:$A$1000</f>
        <v>0</v>
      </c>
      <c r="B345">
        <f>'Skor Bobot'!$M$2:$M$1000</f>
        <v>0</v>
      </c>
    </row>
    <row r="346" spans="1:2" x14ac:dyDescent="0.25">
      <c r="A346">
        <f>'Skor Bobot'!$A$2:$A$1000</f>
        <v>0</v>
      </c>
      <c r="B346">
        <f>'Skor Bobot'!$M$2:$M$1000</f>
        <v>0</v>
      </c>
    </row>
    <row r="347" spans="1:2" x14ac:dyDescent="0.25">
      <c r="A347">
        <f>'Skor Bobot'!$A$2:$A$1000</f>
        <v>0</v>
      </c>
      <c r="B347">
        <f>'Skor Bobot'!$M$2:$M$1000</f>
        <v>0</v>
      </c>
    </row>
    <row r="348" spans="1:2" x14ac:dyDescent="0.25">
      <c r="A348">
        <f>'Skor Bobot'!$A$2:$A$1000</f>
        <v>0</v>
      </c>
      <c r="B348">
        <f>'Skor Bobot'!$M$2:$M$1000</f>
        <v>0</v>
      </c>
    </row>
    <row r="349" spans="1:2" x14ac:dyDescent="0.25">
      <c r="A349">
        <f>'Skor Bobot'!$A$2:$A$1000</f>
        <v>0</v>
      </c>
      <c r="B349">
        <f>'Skor Bobot'!$M$2:$M$1000</f>
        <v>0</v>
      </c>
    </row>
    <row r="350" spans="1:2" x14ac:dyDescent="0.25">
      <c r="A350">
        <f>'Skor Bobot'!$A$2:$A$1000</f>
        <v>0</v>
      </c>
      <c r="B350">
        <f>'Skor Bobot'!$M$2:$M$1000</f>
        <v>0</v>
      </c>
    </row>
    <row r="351" spans="1:2" x14ac:dyDescent="0.25">
      <c r="A351">
        <f>'Skor Bobot'!$A$2:$A$1000</f>
        <v>0</v>
      </c>
      <c r="B351">
        <f>'Skor Bobot'!$M$2:$M$1000</f>
        <v>0</v>
      </c>
    </row>
    <row r="352" spans="1:2" x14ac:dyDescent="0.25">
      <c r="A352">
        <f>'Skor Bobot'!$A$2:$A$1000</f>
        <v>0</v>
      </c>
      <c r="B352">
        <f>'Skor Bobot'!$M$2:$M$1000</f>
        <v>0</v>
      </c>
    </row>
    <row r="353" spans="1:2" x14ac:dyDescent="0.25">
      <c r="A353">
        <f>'Skor Bobot'!$A$2:$A$1000</f>
        <v>0</v>
      </c>
      <c r="B353">
        <f>'Skor Bobot'!$M$2:$M$1000</f>
        <v>0</v>
      </c>
    </row>
    <row r="354" spans="1:2" x14ac:dyDescent="0.25">
      <c r="A354">
        <f>'Skor Bobot'!$A$2:$A$1000</f>
        <v>0</v>
      </c>
      <c r="B354">
        <f>'Skor Bobot'!$M$2:$M$1000</f>
        <v>0</v>
      </c>
    </row>
    <row r="355" spans="1:2" x14ac:dyDescent="0.25">
      <c r="A355">
        <f>'Skor Bobot'!$A$2:$A$1000</f>
        <v>0</v>
      </c>
      <c r="B355">
        <f>'Skor Bobot'!$M$2:$M$1000</f>
        <v>0</v>
      </c>
    </row>
    <row r="356" spans="1:2" x14ac:dyDescent="0.25">
      <c r="A356">
        <f>'Skor Bobot'!$A$2:$A$1000</f>
        <v>0</v>
      </c>
      <c r="B356">
        <f>'Skor Bobot'!$M$2:$M$1000</f>
        <v>0</v>
      </c>
    </row>
    <row r="357" spans="1:2" x14ac:dyDescent="0.25">
      <c r="A357">
        <f>'Skor Bobot'!$A$2:$A$1000</f>
        <v>0</v>
      </c>
      <c r="B357">
        <f>'Skor Bobot'!$M$2:$M$1000</f>
        <v>0</v>
      </c>
    </row>
    <row r="358" spans="1:2" x14ac:dyDescent="0.25">
      <c r="A358">
        <f>'Skor Bobot'!$A$2:$A$1000</f>
        <v>0</v>
      </c>
      <c r="B358">
        <f>'Skor Bobot'!$M$2:$M$1000</f>
        <v>0</v>
      </c>
    </row>
    <row r="359" spans="1:2" x14ac:dyDescent="0.25">
      <c r="A359">
        <f>'Skor Bobot'!$A$2:$A$1000</f>
        <v>0</v>
      </c>
      <c r="B359">
        <f>'Skor Bobot'!$M$2:$M$1000</f>
        <v>0</v>
      </c>
    </row>
    <row r="360" spans="1:2" x14ac:dyDescent="0.25">
      <c r="A360">
        <f>'Skor Bobot'!$A$2:$A$1000</f>
        <v>0</v>
      </c>
      <c r="B360">
        <f>'Skor Bobot'!$M$2:$M$1000</f>
        <v>0</v>
      </c>
    </row>
    <row r="361" spans="1:2" x14ac:dyDescent="0.25">
      <c r="A361">
        <f>'Skor Bobot'!$A$2:$A$1000</f>
        <v>0</v>
      </c>
      <c r="B361">
        <f>'Skor Bobot'!$M$2:$M$1000</f>
        <v>0</v>
      </c>
    </row>
    <row r="362" spans="1:2" x14ac:dyDescent="0.25">
      <c r="A362">
        <f>'Skor Bobot'!$A$2:$A$1000</f>
        <v>0</v>
      </c>
      <c r="B362">
        <f>'Skor Bobot'!$M$2:$M$1000</f>
        <v>0</v>
      </c>
    </row>
    <row r="363" spans="1:2" x14ac:dyDescent="0.25">
      <c r="A363">
        <f>'Skor Bobot'!$A$2:$A$1000</f>
        <v>0</v>
      </c>
      <c r="B363">
        <f>'Skor Bobot'!$M$2:$M$1000</f>
        <v>0</v>
      </c>
    </row>
    <row r="364" spans="1:2" x14ac:dyDescent="0.25">
      <c r="A364">
        <f>'Skor Bobot'!$A$2:$A$1000</f>
        <v>0</v>
      </c>
      <c r="B364">
        <f>'Skor Bobot'!$M$2:$M$1000</f>
        <v>0</v>
      </c>
    </row>
    <row r="365" spans="1:2" x14ac:dyDescent="0.25">
      <c r="A365">
        <f>'Skor Bobot'!$A$2:$A$1000</f>
        <v>0</v>
      </c>
      <c r="B365">
        <f>'Skor Bobot'!$M$2:$M$1000</f>
        <v>0</v>
      </c>
    </row>
  </sheetData>
  <sortState xmlns:xlrd2="http://schemas.microsoft.com/office/spreadsheetml/2017/richdata2" ref="D2:E169">
    <sortCondition ref="D2:D1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C6B8-B001-4C97-A8E4-B49EAA89C823}">
  <sheetPr codeName="Sheet4"/>
  <dimension ref="A1:U392"/>
  <sheetViews>
    <sheetView topLeftCell="L3" zoomScaleNormal="100" workbookViewId="0">
      <selection activeCell="U29" sqref="U29"/>
    </sheetView>
  </sheetViews>
  <sheetFormatPr defaultRowHeight="15" x14ac:dyDescent="0.25"/>
  <cols>
    <col min="2" max="2" width="9.140625" style="32" customWidth="1"/>
    <col min="3" max="3" width="9.140625" style="32"/>
    <col min="5" max="5" width="8.5703125" style="32" customWidth="1"/>
    <col min="8" max="8" width="9.140625" customWidth="1"/>
    <col min="9" max="10" width="9.140625" style="32"/>
  </cols>
  <sheetData>
    <row r="1" spans="1:21" x14ac:dyDescent="0.25">
      <c r="A1" s="3" t="s">
        <v>45</v>
      </c>
      <c r="B1" s="34" t="s">
        <v>0</v>
      </c>
      <c r="C1" s="34" t="s">
        <v>292</v>
      </c>
      <c r="D1" t="s">
        <v>0</v>
      </c>
      <c r="E1" s="34"/>
      <c r="F1" s="3" t="s">
        <v>0</v>
      </c>
      <c r="G1" s="3" t="s">
        <v>393</v>
      </c>
      <c r="I1" s="34" t="s">
        <v>0</v>
      </c>
      <c r="J1" s="34" t="s">
        <v>393</v>
      </c>
      <c r="L1" s="3" t="s">
        <v>392</v>
      </c>
      <c r="M1" t="s">
        <v>0</v>
      </c>
    </row>
    <row r="2" spans="1:21" x14ac:dyDescent="0.25">
      <c r="D2">
        <v>1</v>
      </c>
      <c r="F2" s="1">
        <v>1</v>
      </c>
      <c r="G2" s="2" t="e">
        <f>AVERAGE(E2:E14)</f>
        <v>#DIV/0!</v>
      </c>
      <c r="J2" s="33"/>
      <c r="L2">
        <v>1</v>
      </c>
      <c r="M2" t="e">
        <f>SMALL($I$2:$I$11,L2)</f>
        <v>#NUM!</v>
      </c>
      <c r="N2" s="3" t="e">
        <f>VLOOKUP(M2,$T$2:$U$29,2,FALSE)</f>
        <v>#NUM!</v>
      </c>
      <c r="T2">
        <v>1</v>
      </c>
      <c r="U2" t="s">
        <v>17</v>
      </c>
    </row>
    <row r="3" spans="1:21" x14ac:dyDescent="0.25">
      <c r="D3">
        <v>1</v>
      </c>
      <c r="F3" s="1">
        <v>2</v>
      </c>
      <c r="G3" s="2" t="e">
        <f>AVERAGE(E16:E28)</f>
        <v>#DIV/0!</v>
      </c>
      <c r="J3" s="33"/>
      <c r="L3">
        <v>2</v>
      </c>
      <c r="M3" t="e">
        <f>SMALL($I$2:$I$11,L3)</f>
        <v>#NUM!</v>
      </c>
      <c r="N3" s="3" t="e">
        <f>VLOOKUP(M3,$T$2:$U$29,2,FALSE)</f>
        <v>#NUM!</v>
      </c>
      <c r="T3">
        <v>2</v>
      </c>
      <c r="U3" t="s">
        <v>18</v>
      </c>
    </row>
    <row r="4" spans="1:21" x14ac:dyDescent="0.25">
      <c r="D4">
        <v>1</v>
      </c>
      <c r="F4" s="1">
        <v>3</v>
      </c>
      <c r="G4" s="2" t="e">
        <f>AVERAGE(E30:E42)</f>
        <v>#DIV/0!</v>
      </c>
      <c r="J4" s="33"/>
      <c r="L4">
        <v>3</v>
      </c>
      <c r="M4" t="e">
        <f>SMALL($I$2:$I$11,L4)</f>
        <v>#NUM!</v>
      </c>
      <c r="N4" s="3" t="e">
        <f>VLOOKUP(M4,$T$2:$U$29,2,FALSE)</f>
        <v>#NUM!</v>
      </c>
      <c r="T4">
        <v>3</v>
      </c>
      <c r="U4" t="s">
        <v>38</v>
      </c>
    </row>
    <row r="5" spans="1:21" x14ac:dyDescent="0.25">
      <c r="D5">
        <v>1</v>
      </c>
      <c r="F5" s="1">
        <v>4</v>
      </c>
      <c r="G5" s="2" t="e">
        <f>AVERAGE(E44:E56)</f>
        <v>#DIV/0!</v>
      </c>
      <c r="J5" s="33"/>
      <c r="L5">
        <v>4</v>
      </c>
      <c r="M5" t="e">
        <f>SMALL($I$2:$I$11,L5)</f>
        <v>#NUM!</v>
      </c>
      <c r="N5" s="3" t="e">
        <f>VLOOKUP(M5,$T$2:$U$29,2,FALSE)</f>
        <v>#NUM!</v>
      </c>
      <c r="T5">
        <v>4</v>
      </c>
      <c r="U5" t="s">
        <v>39</v>
      </c>
    </row>
    <row r="6" spans="1:21" x14ac:dyDescent="0.25">
      <c r="D6">
        <v>1</v>
      </c>
      <c r="F6" s="1">
        <v>5</v>
      </c>
      <c r="G6" s="2" t="e">
        <f>AVERAGE(E58:E70)</f>
        <v>#DIV/0!</v>
      </c>
      <c r="J6" s="33"/>
      <c r="L6">
        <v>5</v>
      </c>
      <c r="M6" t="e">
        <f>SMALL($I$2:$I$11,L6)</f>
        <v>#NUM!</v>
      </c>
      <c r="N6" s="3" t="e">
        <f>VLOOKUP(M6,$T$2:$U$29,2,FALSE)</f>
        <v>#NUM!</v>
      </c>
      <c r="T6">
        <v>5</v>
      </c>
      <c r="U6" t="s">
        <v>36</v>
      </c>
    </row>
    <row r="7" spans="1:21" x14ac:dyDescent="0.25">
      <c r="D7">
        <v>1</v>
      </c>
      <c r="F7" s="1">
        <v>6</v>
      </c>
      <c r="G7" s="2" t="e">
        <f>AVERAGE(E72:E84)</f>
        <v>#DIV/0!</v>
      </c>
      <c r="J7" s="33"/>
      <c r="N7" s="3"/>
      <c r="T7">
        <v>6</v>
      </c>
      <c r="U7" s="3" t="s">
        <v>389</v>
      </c>
    </row>
    <row r="8" spans="1:21" x14ac:dyDescent="0.25">
      <c r="D8">
        <v>1</v>
      </c>
      <c r="F8" s="1">
        <v>7</v>
      </c>
      <c r="G8" s="2" t="e">
        <f>AVERAGE(E86:E98)</f>
        <v>#DIV/0!</v>
      </c>
      <c r="J8" s="33"/>
      <c r="N8" s="3"/>
      <c r="T8">
        <v>7</v>
      </c>
      <c r="U8" t="s">
        <v>41</v>
      </c>
    </row>
    <row r="9" spans="1:21" x14ac:dyDescent="0.25">
      <c r="D9">
        <v>1</v>
      </c>
      <c r="F9" s="1">
        <v>8</v>
      </c>
      <c r="G9" s="2" t="e">
        <f>AVERAGE(E100:E112)</f>
        <v>#DIV/0!</v>
      </c>
      <c r="J9" s="33"/>
      <c r="N9" s="3"/>
      <c r="T9">
        <v>8</v>
      </c>
      <c r="U9" t="s">
        <v>27</v>
      </c>
    </row>
    <row r="10" spans="1:21" x14ac:dyDescent="0.25">
      <c r="D10">
        <v>1</v>
      </c>
      <c r="F10" s="1">
        <v>9</v>
      </c>
      <c r="G10" s="2" t="e">
        <f>AVERAGE(E114:E126)</f>
        <v>#DIV/0!</v>
      </c>
      <c r="J10" s="33"/>
      <c r="N10" s="3"/>
      <c r="T10">
        <v>9</v>
      </c>
      <c r="U10" t="s">
        <v>34</v>
      </c>
    </row>
    <row r="11" spans="1:21" x14ac:dyDescent="0.25">
      <c r="D11">
        <v>1</v>
      </c>
      <c r="F11" s="1">
        <v>10</v>
      </c>
      <c r="G11" s="2" t="e">
        <f>AVERAGE(E128:E140)</f>
        <v>#DIV/0!</v>
      </c>
      <c r="J11" s="33"/>
      <c r="N11" s="3"/>
      <c r="T11">
        <v>10</v>
      </c>
      <c r="U11" t="s">
        <v>19</v>
      </c>
    </row>
    <row r="12" spans="1:21" x14ac:dyDescent="0.25">
      <c r="D12">
        <v>1</v>
      </c>
      <c r="F12" s="1">
        <v>11</v>
      </c>
      <c r="G12" s="2" t="e">
        <f>AVERAGE(E142:E154)</f>
        <v>#DIV/0!</v>
      </c>
      <c r="J12" s="33"/>
      <c r="T12">
        <v>11</v>
      </c>
      <c r="U12" t="s">
        <v>20</v>
      </c>
    </row>
    <row r="13" spans="1:21" x14ac:dyDescent="0.25">
      <c r="D13">
        <v>1</v>
      </c>
      <c r="F13" s="1">
        <v>12</v>
      </c>
      <c r="G13" s="2" t="e">
        <f>AVERAGE(E156:E168)</f>
        <v>#DIV/0!</v>
      </c>
      <c r="J13" s="33"/>
      <c r="N13" s="3"/>
      <c r="T13">
        <v>12</v>
      </c>
      <c r="U13" t="s">
        <v>21</v>
      </c>
    </row>
    <row r="14" spans="1:21" x14ac:dyDescent="0.25">
      <c r="D14">
        <v>1</v>
      </c>
      <c r="F14" s="1">
        <v>13</v>
      </c>
      <c r="G14" s="2" t="e">
        <f>AVERAGE(E170:E182)</f>
        <v>#DIV/0!</v>
      </c>
      <c r="J14" s="33"/>
      <c r="N14" s="3"/>
      <c r="T14">
        <v>13</v>
      </c>
      <c r="U14" t="s">
        <v>22</v>
      </c>
    </row>
    <row r="15" spans="1:21" x14ac:dyDescent="0.25">
      <c r="F15" s="1">
        <v>14</v>
      </c>
      <c r="G15" s="2" t="e">
        <f>AVERAGE(E184:E196)</f>
        <v>#DIV/0!</v>
      </c>
      <c r="J15" s="33"/>
      <c r="T15">
        <v>14</v>
      </c>
      <c r="U15" t="s">
        <v>44</v>
      </c>
    </row>
    <row r="16" spans="1:21" x14ac:dyDescent="0.25">
      <c r="D16">
        <v>2</v>
      </c>
      <c r="F16" s="1">
        <v>15</v>
      </c>
      <c r="G16" s="2" t="e">
        <f>AVERAGE(E198:E210)</f>
        <v>#DIV/0!</v>
      </c>
      <c r="J16" s="33"/>
      <c r="T16">
        <v>15</v>
      </c>
      <c r="U16" t="s">
        <v>42</v>
      </c>
    </row>
    <row r="17" spans="4:21" x14ac:dyDescent="0.25">
      <c r="D17">
        <v>2</v>
      </c>
      <c r="F17" s="1">
        <v>16</v>
      </c>
      <c r="G17" s="2" t="e">
        <f>AVERAGE(E212:E224)</f>
        <v>#DIV/0!</v>
      </c>
      <c r="J17" s="33"/>
      <c r="T17">
        <v>16</v>
      </c>
      <c r="U17" t="s">
        <v>43</v>
      </c>
    </row>
    <row r="18" spans="4:21" x14ac:dyDescent="0.25">
      <c r="D18">
        <v>2</v>
      </c>
      <c r="F18" s="1">
        <v>17</v>
      </c>
      <c r="G18" s="2" t="e">
        <f>AVERAGE(E226:E238)</f>
        <v>#DIV/0!</v>
      </c>
      <c r="J18" s="33"/>
      <c r="T18">
        <v>17</v>
      </c>
      <c r="U18" t="s">
        <v>23</v>
      </c>
    </row>
    <row r="19" spans="4:21" x14ac:dyDescent="0.25">
      <c r="D19">
        <v>2</v>
      </c>
      <c r="F19" s="1">
        <v>18</v>
      </c>
      <c r="G19" s="2" t="e">
        <f>AVERAGE(E240:E252)</f>
        <v>#DIV/0!</v>
      </c>
      <c r="J19" s="33"/>
      <c r="T19">
        <v>18</v>
      </c>
      <c r="U19" t="s">
        <v>28</v>
      </c>
    </row>
    <row r="20" spans="4:21" x14ac:dyDescent="0.25">
      <c r="D20">
        <v>2</v>
      </c>
      <c r="F20" s="1">
        <v>19</v>
      </c>
      <c r="G20" s="2" t="e">
        <f>AVERAGE(E254:E266)</f>
        <v>#DIV/0!</v>
      </c>
      <c r="J20" s="33"/>
      <c r="T20">
        <v>19</v>
      </c>
      <c r="U20" t="s">
        <v>33</v>
      </c>
    </row>
    <row r="21" spans="4:21" x14ac:dyDescent="0.25">
      <c r="D21">
        <v>2</v>
      </c>
      <c r="F21" s="1">
        <v>20</v>
      </c>
      <c r="G21" s="2" t="e">
        <f>AVERAGE(E268:E280)</f>
        <v>#DIV/0!</v>
      </c>
      <c r="J21" s="33"/>
      <c r="T21">
        <v>20</v>
      </c>
      <c r="U21" t="s">
        <v>29</v>
      </c>
    </row>
    <row r="22" spans="4:21" x14ac:dyDescent="0.25">
      <c r="D22">
        <v>2</v>
      </c>
      <c r="F22" s="1">
        <v>21</v>
      </c>
      <c r="G22" s="2" t="e">
        <f>AVERAGE(E282:E366)</f>
        <v>#DIV/0!</v>
      </c>
      <c r="J22" s="33"/>
      <c r="T22">
        <v>21</v>
      </c>
      <c r="U22" t="s">
        <v>35</v>
      </c>
    </row>
    <row r="23" spans="4:21" x14ac:dyDescent="0.25">
      <c r="D23">
        <v>2</v>
      </c>
      <c r="F23" s="1">
        <v>22</v>
      </c>
      <c r="G23" s="2" t="e">
        <f>AVERAGE(E310:E381)</f>
        <v>#DIV/0!</v>
      </c>
      <c r="J23" s="33"/>
      <c r="T23">
        <v>22</v>
      </c>
      <c r="U23" t="s">
        <v>30</v>
      </c>
    </row>
    <row r="24" spans="4:21" x14ac:dyDescent="0.25">
      <c r="D24">
        <v>2</v>
      </c>
      <c r="F24" s="1">
        <v>23</v>
      </c>
      <c r="G24" s="2" t="e">
        <f>AVERAGE(E310:E322)</f>
        <v>#DIV/0!</v>
      </c>
      <c r="J24" s="33"/>
      <c r="T24">
        <v>23</v>
      </c>
      <c r="U24" t="s">
        <v>24</v>
      </c>
    </row>
    <row r="25" spans="4:21" x14ac:dyDescent="0.25">
      <c r="D25">
        <v>2</v>
      </c>
      <c r="F25" s="1">
        <v>24</v>
      </c>
      <c r="G25" s="2" t="e">
        <f>AVERAGE(E324:E336)</f>
        <v>#DIV/0!</v>
      </c>
      <c r="J25" s="33"/>
      <c r="T25">
        <v>24</v>
      </c>
      <c r="U25" t="s">
        <v>25</v>
      </c>
    </row>
    <row r="26" spans="4:21" x14ac:dyDescent="0.25">
      <c r="D26">
        <v>2</v>
      </c>
      <c r="F26" s="1">
        <v>25</v>
      </c>
      <c r="G26" s="2" t="e">
        <f>AVERAGE(E338:E350)</f>
        <v>#DIV/0!</v>
      </c>
      <c r="J26" s="33"/>
      <c r="T26">
        <v>25</v>
      </c>
      <c r="U26" t="s">
        <v>26</v>
      </c>
    </row>
    <row r="27" spans="4:21" x14ac:dyDescent="0.25">
      <c r="D27">
        <v>2</v>
      </c>
      <c r="F27" s="1">
        <v>26</v>
      </c>
      <c r="G27" s="2" t="e">
        <f>AVERAGE(E352:E364)</f>
        <v>#DIV/0!</v>
      </c>
      <c r="J27" s="33"/>
      <c r="T27">
        <v>26</v>
      </c>
      <c r="U27" t="s">
        <v>40</v>
      </c>
    </row>
    <row r="28" spans="4:21" x14ac:dyDescent="0.25">
      <c r="D28">
        <v>2</v>
      </c>
      <c r="F28" s="1">
        <v>27</v>
      </c>
      <c r="G28" s="2" t="e">
        <f>AVERAGE(E366:E378)</f>
        <v>#DIV/0!</v>
      </c>
      <c r="J28" s="33"/>
      <c r="T28">
        <v>27</v>
      </c>
      <c r="U28" t="s">
        <v>37</v>
      </c>
    </row>
    <row r="29" spans="4:21" x14ac:dyDescent="0.25">
      <c r="F29" s="1">
        <v>28</v>
      </c>
      <c r="G29" s="2" t="e">
        <f>AVERAGE(E380:E392)</f>
        <v>#DIV/0!</v>
      </c>
      <c r="J29" s="33"/>
      <c r="T29">
        <v>28</v>
      </c>
      <c r="U29" t="s">
        <v>31</v>
      </c>
    </row>
    <row r="30" spans="4:21" x14ac:dyDescent="0.25">
      <c r="D30">
        <v>3</v>
      </c>
    </row>
    <row r="31" spans="4:21" x14ac:dyDescent="0.25">
      <c r="D31">
        <v>3</v>
      </c>
    </row>
    <row r="32" spans="4:21" x14ac:dyDescent="0.25">
      <c r="D32">
        <v>3</v>
      </c>
    </row>
    <row r="33" spans="4:4" x14ac:dyDescent="0.25">
      <c r="D33">
        <v>3</v>
      </c>
    </row>
    <row r="34" spans="4:4" x14ac:dyDescent="0.25">
      <c r="D34">
        <v>3</v>
      </c>
    </row>
    <row r="35" spans="4:4" x14ac:dyDescent="0.25">
      <c r="D35">
        <v>3</v>
      </c>
    </row>
    <row r="36" spans="4:4" x14ac:dyDescent="0.25">
      <c r="D36">
        <v>3</v>
      </c>
    </row>
    <row r="37" spans="4:4" x14ac:dyDescent="0.25">
      <c r="D37">
        <v>3</v>
      </c>
    </row>
    <row r="38" spans="4:4" x14ac:dyDescent="0.25">
      <c r="D38">
        <v>3</v>
      </c>
    </row>
    <row r="39" spans="4:4" x14ac:dyDescent="0.25">
      <c r="D39">
        <v>3</v>
      </c>
    </row>
    <row r="40" spans="4:4" x14ac:dyDescent="0.25">
      <c r="D40">
        <v>3</v>
      </c>
    </row>
    <row r="41" spans="4:4" x14ac:dyDescent="0.25">
      <c r="D41">
        <v>3</v>
      </c>
    </row>
    <row r="42" spans="4:4" x14ac:dyDescent="0.25">
      <c r="D42">
        <v>3</v>
      </c>
    </row>
    <row r="44" spans="4:4" x14ac:dyDescent="0.25">
      <c r="D44">
        <v>4</v>
      </c>
    </row>
    <row r="45" spans="4:4" x14ac:dyDescent="0.25">
      <c r="D45">
        <v>4</v>
      </c>
    </row>
    <row r="46" spans="4:4" x14ac:dyDescent="0.25">
      <c r="D46">
        <v>4</v>
      </c>
    </row>
    <row r="47" spans="4:4" x14ac:dyDescent="0.25">
      <c r="D47">
        <v>4</v>
      </c>
    </row>
    <row r="48" spans="4:4" x14ac:dyDescent="0.25">
      <c r="D48">
        <v>4</v>
      </c>
    </row>
    <row r="49" spans="4:4" x14ac:dyDescent="0.25">
      <c r="D49">
        <v>4</v>
      </c>
    </row>
    <row r="50" spans="4:4" x14ac:dyDescent="0.25">
      <c r="D50">
        <v>4</v>
      </c>
    </row>
    <row r="51" spans="4:4" x14ac:dyDescent="0.25">
      <c r="D51">
        <v>4</v>
      </c>
    </row>
    <row r="52" spans="4:4" x14ac:dyDescent="0.25">
      <c r="D52">
        <v>4</v>
      </c>
    </row>
    <row r="53" spans="4:4" x14ac:dyDescent="0.25">
      <c r="D53">
        <v>4</v>
      </c>
    </row>
    <row r="54" spans="4:4" x14ac:dyDescent="0.25">
      <c r="D54">
        <v>4</v>
      </c>
    </row>
    <row r="55" spans="4:4" x14ac:dyDescent="0.25">
      <c r="D55">
        <v>4</v>
      </c>
    </row>
    <row r="56" spans="4:4" x14ac:dyDescent="0.25">
      <c r="D56">
        <v>4</v>
      </c>
    </row>
    <row r="58" spans="4:4" x14ac:dyDescent="0.25">
      <c r="D58">
        <v>5</v>
      </c>
    </row>
    <row r="59" spans="4:4" x14ac:dyDescent="0.25">
      <c r="D59">
        <v>5</v>
      </c>
    </row>
    <row r="60" spans="4:4" x14ac:dyDescent="0.25">
      <c r="D60">
        <v>5</v>
      </c>
    </row>
    <row r="61" spans="4:4" x14ac:dyDescent="0.25">
      <c r="D61">
        <v>5</v>
      </c>
    </row>
    <row r="62" spans="4:4" x14ac:dyDescent="0.25">
      <c r="D62">
        <v>5</v>
      </c>
    </row>
    <row r="63" spans="4:4" x14ac:dyDescent="0.25">
      <c r="D63">
        <v>5</v>
      </c>
    </row>
    <row r="64" spans="4:4" x14ac:dyDescent="0.25">
      <c r="D64">
        <v>5</v>
      </c>
    </row>
    <row r="65" spans="4:4" x14ac:dyDescent="0.25">
      <c r="D65">
        <v>5</v>
      </c>
    </row>
    <row r="66" spans="4:4" x14ac:dyDescent="0.25">
      <c r="D66">
        <v>5</v>
      </c>
    </row>
    <row r="67" spans="4:4" x14ac:dyDescent="0.25">
      <c r="D67">
        <v>5</v>
      </c>
    </row>
    <row r="68" spans="4:4" x14ac:dyDescent="0.25">
      <c r="D68">
        <v>5</v>
      </c>
    </row>
    <row r="69" spans="4:4" x14ac:dyDescent="0.25">
      <c r="D69">
        <v>5</v>
      </c>
    </row>
    <row r="70" spans="4:4" x14ac:dyDescent="0.25">
      <c r="D70">
        <v>5</v>
      </c>
    </row>
    <row r="72" spans="4:4" x14ac:dyDescent="0.25">
      <c r="D72">
        <v>6</v>
      </c>
    </row>
    <row r="73" spans="4:4" x14ac:dyDescent="0.25">
      <c r="D73">
        <v>6</v>
      </c>
    </row>
    <row r="74" spans="4:4" x14ac:dyDescent="0.25">
      <c r="D74">
        <v>6</v>
      </c>
    </row>
    <row r="75" spans="4:4" x14ac:dyDescent="0.25">
      <c r="D75">
        <v>6</v>
      </c>
    </row>
    <row r="76" spans="4:4" x14ac:dyDescent="0.25">
      <c r="D76">
        <v>6</v>
      </c>
    </row>
    <row r="77" spans="4:4" x14ac:dyDescent="0.25">
      <c r="D77">
        <v>6</v>
      </c>
    </row>
    <row r="78" spans="4:4" x14ac:dyDescent="0.25">
      <c r="D78">
        <v>6</v>
      </c>
    </row>
    <row r="79" spans="4:4" x14ac:dyDescent="0.25">
      <c r="D79">
        <v>6</v>
      </c>
    </row>
    <row r="80" spans="4:4" x14ac:dyDescent="0.25">
      <c r="D80">
        <v>6</v>
      </c>
    </row>
    <row r="81" spans="4:4" x14ac:dyDescent="0.25">
      <c r="D81">
        <v>6</v>
      </c>
    </row>
    <row r="82" spans="4:4" x14ac:dyDescent="0.25">
      <c r="D82">
        <v>6</v>
      </c>
    </row>
    <row r="83" spans="4:4" x14ac:dyDescent="0.25">
      <c r="D83">
        <v>6</v>
      </c>
    </row>
    <row r="84" spans="4:4" x14ac:dyDescent="0.25">
      <c r="D84">
        <v>6</v>
      </c>
    </row>
    <row r="86" spans="4:4" x14ac:dyDescent="0.25">
      <c r="D86">
        <v>7</v>
      </c>
    </row>
    <row r="87" spans="4:4" x14ac:dyDescent="0.25">
      <c r="D87">
        <v>7</v>
      </c>
    </row>
    <row r="88" spans="4:4" x14ac:dyDescent="0.25">
      <c r="D88">
        <v>7</v>
      </c>
    </row>
    <row r="89" spans="4:4" x14ac:dyDescent="0.25">
      <c r="D89">
        <v>7</v>
      </c>
    </row>
    <row r="90" spans="4:4" x14ac:dyDescent="0.25">
      <c r="D90">
        <v>7</v>
      </c>
    </row>
    <row r="91" spans="4:4" x14ac:dyDescent="0.25">
      <c r="D91">
        <v>7</v>
      </c>
    </row>
    <row r="92" spans="4:4" x14ac:dyDescent="0.25">
      <c r="D92">
        <v>7</v>
      </c>
    </row>
    <row r="93" spans="4:4" x14ac:dyDescent="0.25">
      <c r="D93">
        <v>7</v>
      </c>
    </row>
    <row r="94" spans="4:4" x14ac:dyDescent="0.25">
      <c r="D94">
        <v>7</v>
      </c>
    </row>
    <row r="95" spans="4:4" x14ac:dyDescent="0.25">
      <c r="D95">
        <v>7</v>
      </c>
    </row>
    <row r="96" spans="4:4" x14ac:dyDescent="0.25">
      <c r="D96">
        <v>7</v>
      </c>
    </row>
    <row r="97" spans="4:4" x14ac:dyDescent="0.25">
      <c r="D97">
        <v>7</v>
      </c>
    </row>
    <row r="98" spans="4:4" x14ac:dyDescent="0.25">
      <c r="D98">
        <v>7</v>
      </c>
    </row>
    <row r="100" spans="4:4" x14ac:dyDescent="0.25">
      <c r="D100">
        <v>8</v>
      </c>
    </row>
    <row r="101" spans="4:4" x14ac:dyDescent="0.25">
      <c r="D101">
        <v>8</v>
      </c>
    </row>
    <row r="102" spans="4:4" x14ac:dyDescent="0.25">
      <c r="D102">
        <v>8</v>
      </c>
    </row>
    <row r="103" spans="4:4" x14ac:dyDescent="0.25">
      <c r="D103">
        <v>8</v>
      </c>
    </row>
    <row r="104" spans="4:4" x14ac:dyDescent="0.25">
      <c r="D104">
        <v>8</v>
      </c>
    </row>
    <row r="105" spans="4:4" x14ac:dyDescent="0.25">
      <c r="D105">
        <v>8</v>
      </c>
    </row>
    <row r="106" spans="4:4" x14ac:dyDescent="0.25">
      <c r="D106">
        <v>8</v>
      </c>
    </row>
    <row r="107" spans="4:4" x14ac:dyDescent="0.25">
      <c r="D107">
        <v>8</v>
      </c>
    </row>
    <row r="108" spans="4:4" x14ac:dyDescent="0.25">
      <c r="D108">
        <v>8</v>
      </c>
    </row>
    <row r="109" spans="4:4" x14ac:dyDescent="0.25">
      <c r="D109">
        <v>8</v>
      </c>
    </row>
    <row r="110" spans="4:4" x14ac:dyDescent="0.25">
      <c r="D110">
        <v>8</v>
      </c>
    </row>
    <row r="111" spans="4:4" x14ac:dyDescent="0.25">
      <c r="D111">
        <v>8</v>
      </c>
    </row>
    <row r="112" spans="4:4" x14ac:dyDescent="0.25">
      <c r="D112">
        <v>8</v>
      </c>
    </row>
    <row r="114" spans="4:4" x14ac:dyDescent="0.25">
      <c r="D114">
        <v>9</v>
      </c>
    </row>
    <row r="115" spans="4:4" x14ac:dyDescent="0.25">
      <c r="D115">
        <v>9</v>
      </c>
    </row>
    <row r="116" spans="4:4" x14ac:dyDescent="0.25">
      <c r="D116">
        <v>9</v>
      </c>
    </row>
    <row r="117" spans="4:4" x14ac:dyDescent="0.25">
      <c r="D117">
        <v>9</v>
      </c>
    </row>
    <row r="118" spans="4:4" x14ac:dyDescent="0.25">
      <c r="D118">
        <v>9</v>
      </c>
    </row>
    <row r="119" spans="4:4" x14ac:dyDescent="0.25">
      <c r="D119">
        <v>9</v>
      </c>
    </row>
    <row r="120" spans="4:4" x14ac:dyDescent="0.25">
      <c r="D120">
        <v>9</v>
      </c>
    </row>
    <row r="121" spans="4:4" x14ac:dyDescent="0.25">
      <c r="D121">
        <v>9</v>
      </c>
    </row>
    <row r="122" spans="4:4" x14ac:dyDescent="0.25">
      <c r="D122">
        <v>9</v>
      </c>
    </row>
    <row r="123" spans="4:4" x14ac:dyDescent="0.25">
      <c r="D123">
        <v>9</v>
      </c>
    </row>
    <row r="124" spans="4:4" x14ac:dyDescent="0.25">
      <c r="D124">
        <v>9</v>
      </c>
    </row>
    <row r="125" spans="4:4" x14ac:dyDescent="0.25">
      <c r="D125">
        <v>9</v>
      </c>
    </row>
    <row r="126" spans="4:4" x14ac:dyDescent="0.25">
      <c r="D126">
        <v>9</v>
      </c>
    </row>
    <row r="128" spans="4:4" x14ac:dyDescent="0.25">
      <c r="D128">
        <v>10</v>
      </c>
    </row>
    <row r="129" spans="4:4" x14ac:dyDescent="0.25">
      <c r="D129">
        <v>10</v>
      </c>
    </row>
    <row r="130" spans="4:4" x14ac:dyDescent="0.25">
      <c r="D130">
        <v>10</v>
      </c>
    </row>
    <row r="131" spans="4:4" x14ac:dyDescent="0.25">
      <c r="D131">
        <v>10</v>
      </c>
    </row>
    <row r="132" spans="4:4" x14ac:dyDescent="0.25">
      <c r="D132">
        <v>10</v>
      </c>
    </row>
    <row r="133" spans="4:4" x14ac:dyDescent="0.25">
      <c r="D133">
        <v>10</v>
      </c>
    </row>
    <row r="134" spans="4:4" x14ac:dyDescent="0.25">
      <c r="D134">
        <v>10</v>
      </c>
    </row>
    <row r="135" spans="4:4" x14ac:dyDescent="0.25">
      <c r="D135">
        <v>10</v>
      </c>
    </row>
    <row r="136" spans="4:4" x14ac:dyDescent="0.25">
      <c r="D136">
        <v>10</v>
      </c>
    </row>
    <row r="137" spans="4:4" x14ac:dyDescent="0.25">
      <c r="D137">
        <v>10</v>
      </c>
    </row>
    <row r="138" spans="4:4" x14ac:dyDescent="0.25">
      <c r="D138">
        <v>10</v>
      </c>
    </row>
    <row r="139" spans="4:4" x14ac:dyDescent="0.25">
      <c r="D139">
        <v>10</v>
      </c>
    </row>
    <row r="140" spans="4:4" x14ac:dyDescent="0.25">
      <c r="D140">
        <v>10</v>
      </c>
    </row>
    <row r="142" spans="4:4" x14ac:dyDescent="0.25">
      <c r="D142">
        <v>11</v>
      </c>
    </row>
    <row r="143" spans="4:4" x14ac:dyDescent="0.25">
      <c r="D143">
        <v>11</v>
      </c>
    </row>
    <row r="144" spans="4:4" x14ac:dyDescent="0.25">
      <c r="D144">
        <v>11</v>
      </c>
    </row>
    <row r="145" spans="4:4" x14ac:dyDescent="0.25">
      <c r="D145">
        <v>11</v>
      </c>
    </row>
    <row r="146" spans="4:4" x14ac:dyDescent="0.25">
      <c r="D146">
        <v>11</v>
      </c>
    </row>
    <row r="147" spans="4:4" x14ac:dyDescent="0.25">
      <c r="D147">
        <v>11</v>
      </c>
    </row>
    <row r="148" spans="4:4" x14ac:dyDescent="0.25">
      <c r="D148">
        <v>11</v>
      </c>
    </row>
    <row r="149" spans="4:4" x14ac:dyDescent="0.25">
      <c r="D149">
        <v>11</v>
      </c>
    </row>
    <row r="150" spans="4:4" x14ac:dyDescent="0.25">
      <c r="D150">
        <v>11</v>
      </c>
    </row>
    <row r="151" spans="4:4" x14ac:dyDescent="0.25">
      <c r="D151">
        <v>11</v>
      </c>
    </row>
    <row r="152" spans="4:4" x14ac:dyDescent="0.25">
      <c r="D152">
        <v>11</v>
      </c>
    </row>
    <row r="153" spans="4:4" x14ac:dyDescent="0.25">
      <c r="D153">
        <v>11</v>
      </c>
    </row>
    <row r="154" spans="4:4" x14ac:dyDescent="0.25">
      <c r="D154">
        <v>11</v>
      </c>
    </row>
    <row r="156" spans="4:4" x14ac:dyDescent="0.25">
      <c r="D156">
        <v>12</v>
      </c>
    </row>
    <row r="157" spans="4:4" x14ac:dyDescent="0.25">
      <c r="D157">
        <v>12</v>
      </c>
    </row>
    <row r="158" spans="4:4" x14ac:dyDescent="0.25">
      <c r="D158">
        <v>12</v>
      </c>
    </row>
    <row r="159" spans="4:4" x14ac:dyDescent="0.25">
      <c r="D159">
        <v>12</v>
      </c>
    </row>
    <row r="160" spans="4:4" x14ac:dyDescent="0.25">
      <c r="D160">
        <v>12</v>
      </c>
    </row>
    <row r="161" spans="4:4" x14ac:dyDescent="0.25">
      <c r="D161">
        <v>12</v>
      </c>
    </row>
    <row r="162" spans="4:4" x14ac:dyDescent="0.25">
      <c r="D162">
        <v>12</v>
      </c>
    </row>
    <row r="163" spans="4:4" x14ac:dyDescent="0.25">
      <c r="D163">
        <v>12</v>
      </c>
    </row>
    <row r="164" spans="4:4" x14ac:dyDescent="0.25">
      <c r="D164">
        <v>12</v>
      </c>
    </row>
    <row r="165" spans="4:4" x14ac:dyDescent="0.25">
      <c r="D165">
        <v>12</v>
      </c>
    </row>
    <row r="166" spans="4:4" x14ac:dyDescent="0.25">
      <c r="D166">
        <v>12</v>
      </c>
    </row>
    <row r="167" spans="4:4" x14ac:dyDescent="0.25">
      <c r="D167">
        <v>12</v>
      </c>
    </row>
    <row r="168" spans="4:4" x14ac:dyDescent="0.25">
      <c r="D168">
        <v>12</v>
      </c>
    </row>
    <row r="170" spans="4:4" x14ac:dyDescent="0.25">
      <c r="D170">
        <v>13</v>
      </c>
    </row>
    <row r="171" spans="4:4" x14ac:dyDescent="0.25">
      <c r="D171">
        <v>13</v>
      </c>
    </row>
    <row r="172" spans="4:4" x14ac:dyDescent="0.25">
      <c r="D172">
        <v>13</v>
      </c>
    </row>
    <row r="173" spans="4:4" x14ac:dyDescent="0.25">
      <c r="D173">
        <v>13</v>
      </c>
    </row>
    <row r="174" spans="4:4" x14ac:dyDescent="0.25">
      <c r="D174">
        <v>13</v>
      </c>
    </row>
    <row r="175" spans="4:4" x14ac:dyDescent="0.25">
      <c r="D175">
        <v>13</v>
      </c>
    </row>
    <row r="176" spans="4:4" x14ac:dyDescent="0.25">
      <c r="D176">
        <v>13</v>
      </c>
    </row>
    <row r="177" spans="4:4" x14ac:dyDescent="0.25">
      <c r="D177">
        <v>13</v>
      </c>
    </row>
    <row r="178" spans="4:4" x14ac:dyDescent="0.25">
      <c r="D178">
        <v>13</v>
      </c>
    </row>
    <row r="179" spans="4:4" x14ac:dyDescent="0.25">
      <c r="D179">
        <v>13</v>
      </c>
    </row>
    <row r="180" spans="4:4" x14ac:dyDescent="0.25">
      <c r="D180">
        <v>13</v>
      </c>
    </row>
    <row r="181" spans="4:4" x14ac:dyDescent="0.25">
      <c r="D181">
        <v>13</v>
      </c>
    </row>
    <row r="182" spans="4:4" x14ac:dyDescent="0.25">
      <c r="D182">
        <v>13</v>
      </c>
    </row>
    <row r="184" spans="4:4" x14ac:dyDescent="0.25">
      <c r="D184">
        <v>14</v>
      </c>
    </row>
    <row r="185" spans="4:4" x14ac:dyDescent="0.25">
      <c r="D185">
        <v>14</v>
      </c>
    </row>
    <row r="186" spans="4:4" x14ac:dyDescent="0.25">
      <c r="D186">
        <v>14</v>
      </c>
    </row>
    <row r="187" spans="4:4" x14ac:dyDescent="0.25">
      <c r="D187">
        <v>14</v>
      </c>
    </row>
    <row r="188" spans="4:4" x14ac:dyDescent="0.25">
      <c r="D188">
        <v>14</v>
      </c>
    </row>
    <row r="189" spans="4:4" x14ac:dyDescent="0.25">
      <c r="D189">
        <v>14</v>
      </c>
    </row>
    <row r="190" spans="4:4" x14ac:dyDescent="0.25">
      <c r="D190">
        <v>14</v>
      </c>
    </row>
    <row r="191" spans="4:4" x14ac:dyDescent="0.25">
      <c r="D191">
        <v>14</v>
      </c>
    </row>
    <row r="192" spans="4:4" x14ac:dyDescent="0.25">
      <c r="D192">
        <v>14</v>
      </c>
    </row>
    <row r="193" spans="4:4" x14ac:dyDescent="0.25">
      <c r="D193">
        <v>14</v>
      </c>
    </row>
    <row r="194" spans="4:4" x14ac:dyDescent="0.25">
      <c r="D194">
        <v>14</v>
      </c>
    </row>
    <row r="195" spans="4:4" x14ac:dyDescent="0.25">
      <c r="D195">
        <v>14</v>
      </c>
    </row>
    <row r="196" spans="4:4" x14ac:dyDescent="0.25">
      <c r="D196">
        <v>14</v>
      </c>
    </row>
    <row r="198" spans="4:4" x14ac:dyDescent="0.25">
      <c r="D198">
        <v>15</v>
      </c>
    </row>
    <row r="199" spans="4:4" x14ac:dyDescent="0.25">
      <c r="D199">
        <v>15</v>
      </c>
    </row>
    <row r="200" spans="4:4" x14ac:dyDescent="0.25">
      <c r="D200">
        <v>15</v>
      </c>
    </row>
    <row r="201" spans="4:4" x14ac:dyDescent="0.25">
      <c r="D201">
        <v>15</v>
      </c>
    </row>
    <row r="202" spans="4:4" x14ac:dyDescent="0.25">
      <c r="D202">
        <v>15</v>
      </c>
    </row>
    <row r="203" spans="4:4" x14ac:dyDescent="0.25">
      <c r="D203">
        <v>15</v>
      </c>
    </row>
    <row r="204" spans="4:4" x14ac:dyDescent="0.25">
      <c r="D204">
        <v>15</v>
      </c>
    </row>
    <row r="205" spans="4:4" x14ac:dyDescent="0.25">
      <c r="D205">
        <v>15</v>
      </c>
    </row>
    <row r="206" spans="4:4" x14ac:dyDescent="0.25">
      <c r="D206">
        <v>15</v>
      </c>
    </row>
    <row r="207" spans="4:4" x14ac:dyDescent="0.25">
      <c r="D207">
        <v>15</v>
      </c>
    </row>
    <row r="208" spans="4:4" x14ac:dyDescent="0.25">
      <c r="D208">
        <v>15</v>
      </c>
    </row>
    <row r="209" spans="4:4" x14ac:dyDescent="0.25">
      <c r="D209">
        <v>15</v>
      </c>
    </row>
    <row r="210" spans="4:4" x14ac:dyDescent="0.25">
      <c r="D210">
        <v>15</v>
      </c>
    </row>
    <row r="212" spans="4:4" x14ac:dyDescent="0.25">
      <c r="D212">
        <v>16</v>
      </c>
    </row>
    <row r="213" spans="4:4" x14ac:dyDescent="0.25">
      <c r="D213">
        <v>16</v>
      </c>
    </row>
    <row r="214" spans="4:4" x14ac:dyDescent="0.25">
      <c r="D214">
        <v>16</v>
      </c>
    </row>
    <row r="215" spans="4:4" x14ac:dyDescent="0.25">
      <c r="D215">
        <v>16</v>
      </c>
    </row>
    <row r="216" spans="4:4" x14ac:dyDescent="0.25">
      <c r="D216">
        <v>16</v>
      </c>
    </row>
    <row r="217" spans="4:4" x14ac:dyDescent="0.25">
      <c r="D217">
        <v>16</v>
      </c>
    </row>
    <row r="218" spans="4:4" x14ac:dyDescent="0.25">
      <c r="D218">
        <v>16</v>
      </c>
    </row>
    <row r="219" spans="4:4" x14ac:dyDescent="0.25">
      <c r="D219">
        <v>16</v>
      </c>
    </row>
    <row r="220" spans="4:4" x14ac:dyDescent="0.25">
      <c r="D220">
        <v>16</v>
      </c>
    </row>
    <row r="221" spans="4:4" x14ac:dyDescent="0.25">
      <c r="D221">
        <v>16</v>
      </c>
    </row>
    <row r="222" spans="4:4" x14ac:dyDescent="0.25">
      <c r="D222">
        <v>16</v>
      </c>
    </row>
    <row r="223" spans="4:4" x14ac:dyDescent="0.25">
      <c r="D223">
        <v>16</v>
      </c>
    </row>
    <row r="224" spans="4:4" x14ac:dyDescent="0.25">
      <c r="D224">
        <v>16</v>
      </c>
    </row>
    <row r="226" spans="4:4" x14ac:dyDescent="0.25">
      <c r="D226">
        <v>17</v>
      </c>
    </row>
    <row r="227" spans="4:4" x14ac:dyDescent="0.25">
      <c r="D227">
        <v>17</v>
      </c>
    </row>
    <row r="228" spans="4:4" x14ac:dyDescent="0.25">
      <c r="D228">
        <v>17</v>
      </c>
    </row>
    <row r="229" spans="4:4" x14ac:dyDescent="0.25">
      <c r="D229">
        <v>17</v>
      </c>
    </row>
    <row r="230" spans="4:4" x14ac:dyDescent="0.25">
      <c r="D230">
        <v>17</v>
      </c>
    </row>
    <row r="231" spans="4:4" x14ac:dyDescent="0.25">
      <c r="D231">
        <v>17</v>
      </c>
    </row>
    <row r="232" spans="4:4" x14ac:dyDescent="0.25">
      <c r="D232">
        <v>17</v>
      </c>
    </row>
    <row r="233" spans="4:4" x14ac:dyDescent="0.25">
      <c r="D233">
        <v>17</v>
      </c>
    </row>
    <row r="234" spans="4:4" x14ac:dyDescent="0.25">
      <c r="D234">
        <v>17</v>
      </c>
    </row>
    <row r="235" spans="4:4" x14ac:dyDescent="0.25">
      <c r="D235">
        <v>17</v>
      </c>
    </row>
    <row r="236" spans="4:4" x14ac:dyDescent="0.25">
      <c r="D236">
        <v>17</v>
      </c>
    </row>
    <row r="237" spans="4:4" x14ac:dyDescent="0.25">
      <c r="D237">
        <v>17</v>
      </c>
    </row>
    <row r="238" spans="4:4" x14ac:dyDescent="0.25">
      <c r="D238">
        <v>17</v>
      </c>
    </row>
    <row r="240" spans="4:4" x14ac:dyDescent="0.25">
      <c r="D240">
        <v>18</v>
      </c>
    </row>
    <row r="241" spans="4:4" x14ac:dyDescent="0.25">
      <c r="D241">
        <v>18</v>
      </c>
    </row>
    <row r="242" spans="4:4" x14ac:dyDescent="0.25">
      <c r="D242">
        <v>18</v>
      </c>
    </row>
    <row r="243" spans="4:4" x14ac:dyDescent="0.25">
      <c r="D243">
        <v>18</v>
      </c>
    </row>
    <row r="244" spans="4:4" x14ac:dyDescent="0.25">
      <c r="D244">
        <v>18</v>
      </c>
    </row>
    <row r="245" spans="4:4" x14ac:dyDescent="0.25">
      <c r="D245">
        <v>18</v>
      </c>
    </row>
    <row r="246" spans="4:4" x14ac:dyDescent="0.25">
      <c r="D246">
        <v>18</v>
      </c>
    </row>
    <row r="247" spans="4:4" x14ac:dyDescent="0.25">
      <c r="D247">
        <v>18</v>
      </c>
    </row>
    <row r="248" spans="4:4" x14ac:dyDescent="0.25">
      <c r="D248">
        <v>18</v>
      </c>
    </row>
    <row r="249" spans="4:4" x14ac:dyDescent="0.25">
      <c r="D249">
        <v>18</v>
      </c>
    </row>
    <row r="250" spans="4:4" x14ac:dyDescent="0.25">
      <c r="D250">
        <v>18</v>
      </c>
    </row>
    <row r="251" spans="4:4" x14ac:dyDescent="0.25">
      <c r="D251">
        <v>18</v>
      </c>
    </row>
    <row r="252" spans="4:4" x14ac:dyDescent="0.25">
      <c r="D252">
        <v>18</v>
      </c>
    </row>
    <row r="254" spans="4:4" x14ac:dyDescent="0.25">
      <c r="D254">
        <v>19</v>
      </c>
    </row>
    <row r="255" spans="4:4" x14ac:dyDescent="0.25">
      <c r="D255">
        <v>19</v>
      </c>
    </row>
    <row r="256" spans="4:4" x14ac:dyDescent="0.25">
      <c r="D256">
        <v>19</v>
      </c>
    </row>
    <row r="257" spans="4:11" x14ac:dyDescent="0.25">
      <c r="D257">
        <v>19</v>
      </c>
    </row>
    <row r="258" spans="4:11" x14ac:dyDescent="0.25">
      <c r="D258">
        <v>19</v>
      </c>
    </row>
    <row r="259" spans="4:11" x14ac:dyDescent="0.25">
      <c r="D259">
        <v>19</v>
      </c>
      <c r="H259" s="3" t="s">
        <v>52</v>
      </c>
      <c r="J259" s="34"/>
      <c r="K259" s="3"/>
    </row>
    <row r="260" spans="4:11" x14ac:dyDescent="0.25">
      <c r="D260">
        <v>19</v>
      </c>
    </row>
    <row r="261" spans="4:11" x14ac:dyDescent="0.25">
      <c r="D261">
        <v>19</v>
      </c>
    </row>
    <row r="262" spans="4:11" x14ac:dyDescent="0.25">
      <c r="D262">
        <v>19</v>
      </c>
    </row>
    <row r="263" spans="4:11" x14ac:dyDescent="0.25">
      <c r="D263">
        <v>19</v>
      </c>
    </row>
    <row r="264" spans="4:11" x14ac:dyDescent="0.25">
      <c r="D264">
        <v>19</v>
      </c>
    </row>
    <row r="265" spans="4:11" x14ac:dyDescent="0.25">
      <c r="D265">
        <v>19</v>
      </c>
    </row>
    <row r="266" spans="4:11" x14ac:dyDescent="0.25">
      <c r="D266">
        <v>19</v>
      </c>
    </row>
    <row r="268" spans="4:11" x14ac:dyDescent="0.25">
      <c r="D268">
        <v>20</v>
      </c>
    </row>
    <row r="269" spans="4:11" x14ac:dyDescent="0.25">
      <c r="D269">
        <v>20</v>
      </c>
    </row>
    <row r="270" spans="4:11" x14ac:dyDescent="0.25">
      <c r="D270">
        <v>20</v>
      </c>
    </row>
    <row r="271" spans="4:11" x14ac:dyDescent="0.25">
      <c r="D271">
        <v>20</v>
      </c>
    </row>
    <row r="272" spans="4:11" x14ac:dyDescent="0.25">
      <c r="D272">
        <v>20</v>
      </c>
    </row>
    <row r="273" spans="4:4" x14ac:dyDescent="0.25">
      <c r="D273">
        <v>20</v>
      </c>
    </row>
    <row r="274" spans="4:4" x14ac:dyDescent="0.25">
      <c r="D274">
        <v>20</v>
      </c>
    </row>
    <row r="275" spans="4:4" x14ac:dyDescent="0.25">
      <c r="D275">
        <v>20</v>
      </c>
    </row>
    <row r="276" spans="4:4" x14ac:dyDescent="0.25">
      <c r="D276">
        <v>20</v>
      </c>
    </row>
    <row r="277" spans="4:4" x14ac:dyDescent="0.25">
      <c r="D277">
        <v>20</v>
      </c>
    </row>
    <row r="278" spans="4:4" x14ac:dyDescent="0.25">
      <c r="D278">
        <v>20</v>
      </c>
    </row>
    <row r="279" spans="4:4" x14ac:dyDescent="0.25">
      <c r="D279">
        <v>20</v>
      </c>
    </row>
    <row r="280" spans="4:4" x14ac:dyDescent="0.25">
      <c r="D280">
        <v>20</v>
      </c>
    </row>
    <row r="282" spans="4:4" x14ac:dyDescent="0.25">
      <c r="D282">
        <v>21</v>
      </c>
    </row>
    <row r="283" spans="4:4" x14ac:dyDescent="0.25">
      <c r="D283">
        <v>21</v>
      </c>
    </row>
    <row r="284" spans="4:4" x14ac:dyDescent="0.25">
      <c r="D284">
        <v>21</v>
      </c>
    </row>
    <row r="285" spans="4:4" x14ac:dyDescent="0.25">
      <c r="D285">
        <v>21</v>
      </c>
    </row>
    <row r="286" spans="4:4" x14ac:dyDescent="0.25">
      <c r="D286">
        <v>21</v>
      </c>
    </row>
    <row r="287" spans="4:4" x14ac:dyDescent="0.25">
      <c r="D287">
        <v>21</v>
      </c>
    </row>
    <row r="288" spans="4:4" x14ac:dyDescent="0.25">
      <c r="D288">
        <v>21</v>
      </c>
    </row>
    <row r="289" spans="4:4" x14ac:dyDescent="0.25">
      <c r="D289">
        <v>21</v>
      </c>
    </row>
    <row r="290" spans="4:4" x14ac:dyDescent="0.25">
      <c r="D290">
        <v>21</v>
      </c>
    </row>
    <row r="291" spans="4:4" x14ac:dyDescent="0.25">
      <c r="D291">
        <v>21</v>
      </c>
    </row>
    <row r="292" spans="4:4" x14ac:dyDescent="0.25">
      <c r="D292">
        <v>21</v>
      </c>
    </row>
    <row r="293" spans="4:4" x14ac:dyDescent="0.25">
      <c r="D293">
        <v>21</v>
      </c>
    </row>
    <row r="294" spans="4:4" x14ac:dyDescent="0.25">
      <c r="D294">
        <v>21</v>
      </c>
    </row>
    <row r="296" spans="4:4" x14ac:dyDescent="0.25">
      <c r="D296">
        <v>22</v>
      </c>
    </row>
    <row r="297" spans="4:4" x14ac:dyDescent="0.25">
      <c r="D297">
        <v>22</v>
      </c>
    </row>
    <row r="298" spans="4:4" x14ac:dyDescent="0.25">
      <c r="D298">
        <v>22</v>
      </c>
    </row>
    <row r="299" spans="4:4" x14ac:dyDescent="0.25">
      <c r="D299">
        <v>22</v>
      </c>
    </row>
    <row r="300" spans="4:4" x14ac:dyDescent="0.25">
      <c r="D300">
        <v>22</v>
      </c>
    </row>
    <row r="301" spans="4:4" x14ac:dyDescent="0.25">
      <c r="D301">
        <v>22</v>
      </c>
    </row>
    <row r="302" spans="4:4" x14ac:dyDescent="0.25">
      <c r="D302">
        <v>22</v>
      </c>
    </row>
    <row r="303" spans="4:4" x14ac:dyDescent="0.25">
      <c r="D303">
        <v>22</v>
      </c>
    </row>
    <row r="304" spans="4:4" x14ac:dyDescent="0.25">
      <c r="D304">
        <v>22</v>
      </c>
    </row>
    <row r="305" spans="4:4" x14ac:dyDescent="0.25">
      <c r="D305">
        <v>22</v>
      </c>
    </row>
    <row r="306" spans="4:4" x14ac:dyDescent="0.25">
      <c r="D306">
        <v>22</v>
      </c>
    </row>
    <row r="307" spans="4:4" x14ac:dyDescent="0.25">
      <c r="D307">
        <v>22</v>
      </c>
    </row>
    <row r="308" spans="4:4" x14ac:dyDescent="0.25">
      <c r="D308">
        <v>22</v>
      </c>
    </row>
    <row r="310" spans="4:4" x14ac:dyDescent="0.25">
      <c r="D310">
        <v>23</v>
      </c>
    </row>
    <row r="311" spans="4:4" x14ac:dyDescent="0.25">
      <c r="D311">
        <v>23</v>
      </c>
    </row>
    <row r="312" spans="4:4" x14ac:dyDescent="0.25">
      <c r="D312">
        <v>23</v>
      </c>
    </row>
    <row r="313" spans="4:4" x14ac:dyDescent="0.25">
      <c r="D313">
        <v>23</v>
      </c>
    </row>
    <row r="314" spans="4:4" x14ac:dyDescent="0.25">
      <c r="D314">
        <v>23</v>
      </c>
    </row>
    <row r="315" spans="4:4" x14ac:dyDescent="0.25">
      <c r="D315">
        <v>23</v>
      </c>
    </row>
    <row r="316" spans="4:4" x14ac:dyDescent="0.25">
      <c r="D316">
        <v>23</v>
      </c>
    </row>
    <row r="317" spans="4:4" x14ac:dyDescent="0.25">
      <c r="D317">
        <v>23</v>
      </c>
    </row>
    <row r="318" spans="4:4" x14ac:dyDescent="0.25">
      <c r="D318">
        <v>23</v>
      </c>
    </row>
    <row r="319" spans="4:4" x14ac:dyDescent="0.25">
      <c r="D319">
        <v>23</v>
      </c>
    </row>
    <row r="320" spans="4:4" x14ac:dyDescent="0.25">
      <c r="D320">
        <v>23</v>
      </c>
    </row>
    <row r="321" spans="4:4" x14ac:dyDescent="0.25">
      <c r="D321">
        <v>23</v>
      </c>
    </row>
    <row r="322" spans="4:4" x14ac:dyDescent="0.25">
      <c r="D322">
        <v>23</v>
      </c>
    </row>
    <row r="324" spans="4:4" x14ac:dyDescent="0.25">
      <c r="D324">
        <v>24</v>
      </c>
    </row>
    <row r="325" spans="4:4" x14ac:dyDescent="0.25">
      <c r="D325">
        <v>24</v>
      </c>
    </row>
    <row r="326" spans="4:4" x14ac:dyDescent="0.25">
      <c r="D326">
        <v>24</v>
      </c>
    </row>
    <row r="327" spans="4:4" x14ac:dyDescent="0.25">
      <c r="D327">
        <v>24</v>
      </c>
    </row>
    <row r="328" spans="4:4" x14ac:dyDescent="0.25">
      <c r="D328">
        <v>24</v>
      </c>
    </row>
    <row r="329" spans="4:4" x14ac:dyDescent="0.25">
      <c r="D329">
        <v>24</v>
      </c>
    </row>
    <row r="330" spans="4:4" x14ac:dyDescent="0.25">
      <c r="D330">
        <v>24</v>
      </c>
    </row>
    <row r="331" spans="4:4" x14ac:dyDescent="0.25">
      <c r="D331">
        <v>24</v>
      </c>
    </row>
    <row r="332" spans="4:4" x14ac:dyDescent="0.25">
      <c r="D332">
        <v>24</v>
      </c>
    </row>
    <row r="333" spans="4:4" x14ac:dyDescent="0.25">
      <c r="D333">
        <v>24</v>
      </c>
    </row>
    <row r="334" spans="4:4" x14ac:dyDescent="0.25">
      <c r="D334">
        <v>24</v>
      </c>
    </row>
    <row r="335" spans="4:4" x14ac:dyDescent="0.25">
      <c r="D335">
        <v>24</v>
      </c>
    </row>
    <row r="336" spans="4:4" x14ac:dyDescent="0.25">
      <c r="D336">
        <v>24</v>
      </c>
    </row>
    <row r="338" spans="4:4" x14ac:dyDescent="0.25">
      <c r="D338">
        <v>25</v>
      </c>
    </row>
    <row r="339" spans="4:4" x14ac:dyDescent="0.25">
      <c r="D339">
        <v>25</v>
      </c>
    </row>
    <row r="340" spans="4:4" x14ac:dyDescent="0.25">
      <c r="D340">
        <v>25</v>
      </c>
    </row>
    <row r="341" spans="4:4" x14ac:dyDescent="0.25">
      <c r="D341">
        <v>25</v>
      </c>
    </row>
    <row r="342" spans="4:4" x14ac:dyDescent="0.25">
      <c r="D342">
        <v>25</v>
      </c>
    </row>
    <row r="343" spans="4:4" x14ac:dyDescent="0.25">
      <c r="D343">
        <v>25</v>
      </c>
    </row>
    <row r="344" spans="4:4" x14ac:dyDescent="0.25">
      <c r="D344">
        <v>25</v>
      </c>
    </row>
    <row r="345" spans="4:4" x14ac:dyDescent="0.25">
      <c r="D345">
        <v>25</v>
      </c>
    </row>
    <row r="346" spans="4:4" x14ac:dyDescent="0.25">
      <c r="D346">
        <v>25</v>
      </c>
    </row>
    <row r="347" spans="4:4" x14ac:dyDescent="0.25">
      <c r="D347">
        <v>25</v>
      </c>
    </row>
    <row r="348" spans="4:4" x14ac:dyDescent="0.25">
      <c r="D348">
        <v>25</v>
      </c>
    </row>
    <row r="349" spans="4:4" x14ac:dyDescent="0.25">
      <c r="D349">
        <v>25</v>
      </c>
    </row>
    <row r="350" spans="4:4" x14ac:dyDescent="0.25">
      <c r="D350">
        <v>25</v>
      </c>
    </row>
    <row r="352" spans="4:4" x14ac:dyDescent="0.25">
      <c r="D352">
        <v>26</v>
      </c>
    </row>
    <row r="353" spans="4:4" x14ac:dyDescent="0.25">
      <c r="D353">
        <v>26</v>
      </c>
    </row>
    <row r="354" spans="4:4" x14ac:dyDescent="0.25">
      <c r="D354">
        <v>26</v>
      </c>
    </row>
    <row r="355" spans="4:4" x14ac:dyDescent="0.25">
      <c r="D355">
        <v>26</v>
      </c>
    </row>
    <row r="356" spans="4:4" x14ac:dyDescent="0.25">
      <c r="D356">
        <v>26</v>
      </c>
    </row>
    <row r="357" spans="4:4" x14ac:dyDescent="0.25">
      <c r="D357">
        <v>26</v>
      </c>
    </row>
    <row r="358" spans="4:4" x14ac:dyDescent="0.25">
      <c r="D358">
        <v>26</v>
      </c>
    </row>
    <row r="359" spans="4:4" x14ac:dyDescent="0.25">
      <c r="D359">
        <v>26</v>
      </c>
    </row>
    <row r="360" spans="4:4" x14ac:dyDescent="0.25">
      <c r="D360">
        <v>26</v>
      </c>
    </row>
    <row r="361" spans="4:4" x14ac:dyDescent="0.25">
      <c r="D361">
        <v>26</v>
      </c>
    </row>
    <row r="362" spans="4:4" x14ac:dyDescent="0.25">
      <c r="D362">
        <v>26</v>
      </c>
    </row>
    <row r="363" spans="4:4" x14ac:dyDescent="0.25">
      <c r="D363">
        <v>26</v>
      </c>
    </row>
    <row r="364" spans="4:4" x14ac:dyDescent="0.25">
      <c r="D364">
        <v>26</v>
      </c>
    </row>
    <row r="366" spans="4:4" x14ac:dyDescent="0.25">
      <c r="D366">
        <v>27</v>
      </c>
    </row>
    <row r="367" spans="4:4" x14ac:dyDescent="0.25">
      <c r="D367">
        <v>27</v>
      </c>
    </row>
    <row r="368" spans="4:4" x14ac:dyDescent="0.25">
      <c r="D368">
        <v>27</v>
      </c>
    </row>
    <row r="369" spans="4:4" x14ac:dyDescent="0.25">
      <c r="D369">
        <v>27</v>
      </c>
    </row>
    <row r="370" spans="4:4" x14ac:dyDescent="0.25">
      <c r="D370">
        <v>27</v>
      </c>
    </row>
    <row r="371" spans="4:4" x14ac:dyDescent="0.25">
      <c r="D371">
        <v>27</v>
      </c>
    </row>
    <row r="372" spans="4:4" x14ac:dyDescent="0.25">
      <c r="D372">
        <v>27</v>
      </c>
    </row>
    <row r="373" spans="4:4" x14ac:dyDescent="0.25">
      <c r="D373">
        <v>27</v>
      </c>
    </row>
    <row r="374" spans="4:4" x14ac:dyDescent="0.25">
      <c r="D374">
        <v>27</v>
      </c>
    </row>
    <row r="375" spans="4:4" x14ac:dyDescent="0.25">
      <c r="D375">
        <v>27</v>
      </c>
    </row>
    <row r="376" spans="4:4" x14ac:dyDescent="0.25">
      <c r="D376">
        <v>27</v>
      </c>
    </row>
    <row r="377" spans="4:4" x14ac:dyDescent="0.25">
      <c r="D377">
        <v>27</v>
      </c>
    </row>
    <row r="378" spans="4:4" x14ac:dyDescent="0.25">
      <c r="D378">
        <v>27</v>
      </c>
    </row>
    <row r="380" spans="4:4" x14ac:dyDescent="0.25">
      <c r="D380">
        <v>28</v>
      </c>
    </row>
    <row r="381" spans="4:4" x14ac:dyDescent="0.25">
      <c r="D381">
        <v>28</v>
      </c>
    </row>
    <row r="382" spans="4:4" x14ac:dyDescent="0.25">
      <c r="D382">
        <v>28</v>
      </c>
    </row>
    <row r="383" spans="4:4" x14ac:dyDescent="0.25">
      <c r="D383">
        <v>28</v>
      </c>
    </row>
    <row r="384" spans="4:4" x14ac:dyDescent="0.25">
      <c r="D384">
        <v>28</v>
      </c>
    </row>
    <row r="385" spans="4:4" x14ac:dyDescent="0.25">
      <c r="D385">
        <v>28</v>
      </c>
    </row>
    <row r="386" spans="4:4" x14ac:dyDescent="0.25">
      <c r="D386">
        <v>28</v>
      </c>
    </row>
    <row r="387" spans="4:4" x14ac:dyDescent="0.25">
      <c r="D387">
        <v>28</v>
      </c>
    </row>
    <row r="388" spans="4:4" x14ac:dyDescent="0.25">
      <c r="D388">
        <v>28</v>
      </c>
    </row>
    <row r="389" spans="4:4" x14ac:dyDescent="0.25">
      <c r="D389">
        <v>28</v>
      </c>
    </row>
    <row r="390" spans="4:4" x14ac:dyDescent="0.25">
      <c r="D390">
        <v>28</v>
      </c>
    </row>
    <row r="391" spans="4:4" x14ac:dyDescent="0.25">
      <c r="D391">
        <v>28</v>
      </c>
    </row>
    <row r="392" spans="4:4" x14ac:dyDescent="0.25">
      <c r="D392">
        <v>28</v>
      </c>
    </row>
  </sheetData>
  <sortState xmlns:xlrd2="http://schemas.microsoft.com/office/spreadsheetml/2017/richdata2" ref="I2:J29">
    <sortCondition descending="1" ref="J2:J29"/>
  </sortState>
  <pageMargins left="0.7" right="0.7" top="0.75" bottom="0.75" header="0.3" footer="0.3"/>
  <ignoredErrors>
    <ignoredError sqref="G22:G2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94EB-5D58-4FE5-B488-FE76A1D67798}">
  <dimension ref="A1:Z986"/>
  <sheetViews>
    <sheetView showGridLines="0" topLeftCell="A19" zoomScaleNormal="100" workbookViewId="0">
      <selection activeCell="M2" sqref="M2"/>
    </sheetView>
  </sheetViews>
  <sheetFormatPr defaultColWidth="14.42578125" defaultRowHeight="15" customHeight="1" x14ac:dyDescent="0.25"/>
  <cols>
    <col min="1" max="1" width="3.85546875" style="8" customWidth="1"/>
    <col min="2" max="2" width="36.5703125" style="8" customWidth="1"/>
    <col min="3" max="3" width="7.42578125" style="8" customWidth="1"/>
    <col min="4" max="4" width="22.42578125" style="8" customWidth="1"/>
    <col min="5" max="7" width="7.42578125" style="8" customWidth="1"/>
    <col min="8" max="13" width="5.28515625" style="8" customWidth="1"/>
    <col min="14" max="26" width="8.7109375" style="8" customWidth="1"/>
    <col min="27" max="16384" width="14.42578125" style="8"/>
  </cols>
  <sheetData>
    <row r="1" spans="1:26" ht="12" customHeight="1" x14ac:dyDescent="0.25">
      <c r="A1" s="5"/>
      <c r="B1" s="6"/>
      <c r="C1" s="6"/>
      <c r="D1" s="6"/>
      <c r="E1" s="6"/>
      <c r="F1" s="6"/>
      <c r="G1" s="6"/>
      <c r="H1" s="7"/>
      <c r="I1" s="7"/>
      <c r="J1" s="7"/>
      <c r="K1" s="7"/>
      <c r="L1" s="7"/>
      <c r="M1" s="85">
        <v>1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" customHeight="1" x14ac:dyDescent="0.2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 t="s">
        <v>400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25">
      <c r="A3" s="5"/>
      <c r="B3" s="6"/>
      <c r="C3" s="6"/>
      <c r="D3" s="6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25">
      <c r="A4" s="5"/>
      <c r="B4" s="6"/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25">
      <c r="A5" s="141" t="s">
        <v>90</v>
      </c>
      <c r="B5" s="141"/>
      <c r="C5" s="141"/>
      <c r="D5" s="141"/>
      <c r="E5" s="141"/>
      <c r="F5" s="141"/>
      <c r="G5" s="141"/>
      <c r="H5" s="14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" customHeight="1" x14ac:dyDescent="0.25">
      <c r="A6" s="141" t="s">
        <v>401</v>
      </c>
      <c r="B6" s="141"/>
      <c r="C6" s="141"/>
      <c r="D6" s="141"/>
      <c r="E6" s="141"/>
      <c r="F6" s="141"/>
      <c r="G6" s="141"/>
      <c r="H6" s="14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" customHeight="1" x14ac:dyDescent="0.25">
      <c r="A7" s="141" t="s">
        <v>53</v>
      </c>
      <c r="B7" s="142"/>
      <c r="C7" s="142"/>
      <c r="D7" s="142"/>
      <c r="E7" s="142"/>
      <c r="F7" s="142"/>
      <c r="G7" s="142"/>
      <c r="H7" s="14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" customHeight="1" thickBot="1" x14ac:dyDescent="0.3">
      <c r="A8" s="143" t="s">
        <v>54</v>
      </c>
      <c r="B8" s="143"/>
      <c r="C8" s="143"/>
      <c r="D8" s="143"/>
      <c r="E8" s="143"/>
      <c r="F8" s="143"/>
      <c r="G8" s="143"/>
      <c r="H8" s="143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" customHeight="1" thickTop="1" x14ac:dyDescent="0.25">
      <c r="A9" s="6"/>
      <c r="B9" s="6"/>
      <c r="C9" s="6"/>
      <c r="D9" s="6"/>
      <c r="E9" s="6"/>
      <c r="F9" s="6"/>
      <c r="G9" s="6"/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" customHeight="1" x14ac:dyDescent="0.25">
      <c r="A10" s="144" t="s">
        <v>55</v>
      </c>
      <c r="B10" s="142"/>
      <c r="C10" s="142"/>
      <c r="D10" s="142"/>
      <c r="E10" s="142"/>
      <c r="F10" s="142"/>
      <c r="G10" s="142"/>
      <c r="H10" s="14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" customHeight="1" x14ac:dyDescent="0.25">
      <c r="A11" s="7"/>
      <c r="B11" s="9" t="s">
        <v>56</v>
      </c>
      <c r="C11" s="10" t="str">
        <f>VLOOKUP($M$1,'Data Dosen'!$A$1:$K$1179,2,FALSE)</f>
        <v>ANDY YUNIARSO, SE, MM, MBA</v>
      </c>
      <c r="D11" s="11"/>
      <c r="E11" s="11"/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" customHeight="1" x14ac:dyDescent="0.25">
      <c r="A12" s="7"/>
      <c r="B12" s="9" t="s">
        <v>57</v>
      </c>
      <c r="C12" s="10" t="str">
        <f>VLOOKUP($M$1,'Data Dosen'!$A$1:$K$1179,3,FALSE)</f>
        <v>Akuntansi</v>
      </c>
      <c r="D12" s="11"/>
      <c r="E12" s="11"/>
      <c r="F12" s="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" customHeight="1" x14ac:dyDescent="0.25">
      <c r="A13" s="7"/>
      <c r="B13" s="9" t="s">
        <v>59</v>
      </c>
      <c r="C13" s="10">
        <f>VLOOKUP($M$1,'Data Dosen'!$A$1:$K$1179,4,FALSE)</f>
        <v>0</v>
      </c>
      <c r="D13" s="11"/>
      <c r="E13" s="11"/>
      <c r="F13" s="6"/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" customHeight="1" x14ac:dyDescent="0.25">
      <c r="A14" s="7"/>
      <c r="B14" s="9" t="s">
        <v>58</v>
      </c>
      <c r="C14" s="10">
        <f>VLOOKUP($M$1,'Data Dosen'!$A$1:$K$1179,5,FALSE)</f>
        <v>0</v>
      </c>
      <c r="D14" s="11"/>
      <c r="F14" s="6"/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" customHeight="1" x14ac:dyDescent="0.25">
      <c r="A15" s="7"/>
      <c r="B15" s="9" t="s">
        <v>60</v>
      </c>
      <c r="C15" s="10">
        <f>VLOOKUP($M$1,'Data Dosen'!$A$1:$K$1179,6,FALSE)</f>
        <v>0</v>
      </c>
      <c r="D15" s="11"/>
      <c r="E15" s="11"/>
      <c r="F15" s="6"/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" customHeight="1" x14ac:dyDescent="0.25">
      <c r="A16" s="144" t="s">
        <v>61</v>
      </c>
      <c r="B16" s="142"/>
      <c r="C16" s="142"/>
      <c r="D16" s="142"/>
      <c r="E16" s="142"/>
      <c r="F16" s="142"/>
      <c r="G16" s="142"/>
      <c r="H16" s="14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" customHeight="1" x14ac:dyDescent="0.25">
      <c r="A17" s="7"/>
      <c r="B17" s="12" t="s">
        <v>62</v>
      </c>
      <c r="C17" s="13" t="s">
        <v>63</v>
      </c>
      <c r="D17" s="13" t="s">
        <v>64</v>
      </c>
      <c r="E17" s="6"/>
      <c r="F17" s="6"/>
      <c r="G17" s="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.5" customHeight="1" x14ac:dyDescent="0.25">
      <c r="A18" s="7"/>
      <c r="B18" s="16" t="s">
        <v>66</v>
      </c>
      <c r="C18" s="31">
        <f>VLOOKUP($M$1,'Data Dosen'!$A$1:$K$1179,7,FALSE)</f>
        <v>0</v>
      </c>
      <c r="D18" s="86" t="str">
        <f>IF(C18&gt;=4.58,"Sangat Baik",IF(AND(C18&gt;=4.12,C18&lt;4.8),"Baik",IF(AND(C18&gt;=3.66,C18&lt;4.12),"Cukup","Kurang Baik")))</f>
        <v>Kurang Baik</v>
      </c>
      <c r="E18" s="6"/>
      <c r="F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" customHeight="1" x14ac:dyDescent="0.25">
      <c r="A19" s="7"/>
      <c r="B19" s="14" t="s">
        <v>65</v>
      </c>
      <c r="C19" s="31">
        <f>VLOOKUP($M$1,'Data Dosen'!$A$1:$K$1179,8,FALSE)</f>
        <v>0</v>
      </c>
      <c r="D19" s="15" t="str">
        <f>IF(C19&lt;14,"Belum Memenuhi","Sudah Memenuhi")</f>
        <v>Belum Memenuhi</v>
      </c>
      <c r="E19" s="6"/>
      <c r="F19" s="6"/>
      <c r="G19" s="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" customHeight="1" x14ac:dyDescent="0.25">
      <c r="A20" s="7"/>
      <c r="B20" s="16" t="s">
        <v>91</v>
      </c>
      <c r="C20" s="31">
        <f>VLOOKUP($M$1,'Data Dosen'!$A$1:$K$1179,9,FALSE)</f>
        <v>0</v>
      </c>
      <c r="D20" s="86" t="str">
        <f>IF(C20&gt;=4.58,"Sangat Baik",IF(AND(C20&gt;=4.12,C20&lt;4.57),"Baik",IF(AND(C20&gt;=3.66,C20&lt;4.12),"Cukup","Kurang ")))</f>
        <v xml:space="preserve">Kurang </v>
      </c>
      <c r="E20" s="6"/>
      <c r="F20" s="6"/>
      <c r="G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" customHeight="1" x14ac:dyDescent="0.25">
      <c r="A21" s="7"/>
      <c r="B21" s="14" t="s">
        <v>67</v>
      </c>
      <c r="C21" s="31">
        <f>VLOOKUP($M$1,'Data Dosen'!$A$1:$K$1179,10,FALSE)</f>
        <v>0</v>
      </c>
      <c r="D21" s="15" t="str">
        <f>IF(C21&gt;=1,"Memenuhi","Belum Memenuhi")</f>
        <v>Belum Memenuhi</v>
      </c>
      <c r="E21" s="6"/>
      <c r="F21" s="6"/>
      <c r="G21" s="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" customHeight="1" x14ac:dyDescent="0.25">
      <c r="A22" s="7"/>
      <c r="B22" s="16" t="s">
        <v>68</v>
      </c>
      <c r="C22" s="31">
        <f>VLOOKUP($M$1,'Data Dosen'!$A$1:$K$1179,11,FALSE)</f>
        <v>0</v>
      </c>
      <c r="D22" s="15" t="str">
        <f>IF(C22&gt;=1,"Memenuhi","Belum Memenuhi")</f>
        <v>Belum Memenuhi</v>
      </c>
      <c r="E22" s="6"/>
      <c r="F22" s="6"/>
      <c r="G22" s="6"/>
      <c r="H22" s="7"/>
      <c r="I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" customHeight="1" x14ac:dyDescent="0.25">
      <c r="A23" s="7"/>
      <c r="B23" s="17"/>
      <c r="C23" s="7"/>
      <c r="D23" s="6"/>
      <c r="E23" s="6"/>
      <c r="F23" s="6"/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" customHeight="1" x14ac:dyDescent="0.25">
      <c r="A24" s="17" t="s">
        <v>69</v>
      </c>
      <c r="B24" s="17"/>
      <c r="C24" s="7"/>
      <c r="D24" s="6"/>
      <c r="E24" s="6"/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" customHeight="1" x14ac:dyDescent="0.25">
      <c r="A25" s="17" t="s">
        <v>70</v>
      </c>
      <c r="B25" s="17"/>
      <c r="C25" s="7"/>
      <c r="D25" s="6"/>
      <c r="E25" s="6"/>
      <c r="F25" s="6"/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" customHeight="1" x14ac:dyDescent="0.25">
      <c r="A26" s="10">
        <v>1</v>
      </c>
      <c r="B26" s="10">
        <f>VLOOKUP($M$1,'Data Dosen'!$A$1:$T$1199,12,FALSE)</f>
        <v>0</v>
      </c>
      <c r="C26" s="7"/>
      <c r="D26" s="6"/>
      <c r="E26" s="6"/>
      <c r="F26" s="6"/>
      <c r="G26" s="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" customHeight="1" x14ac:dyDescent="0.25">
      <c r="A27" s="10">
        <v>2</v>
      </c>
      <c r="B27" s="10">
        <f>VLOOKUP($M$1,'Data Dosen'!$A$1:$T$1199,13,FALSE)</f>
        <v>0</v>
      </c>
      <c r="C27" s="7"/>
      <c r="D27" s="6"/>
      <c r="E27" s="6"/>
      <c r="F27" s="6"/>
      <c r="G27" s="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" customHeight="1" x14ac:dyDescent="0.25">
      <c r="A28" s="10">
        <v>3</v>
      </c>
      <c r="B28" s="10">
        <f>VLOOKUP($M$1,'Data Dosen'!$A$1:$T$1199,14,FALSE)</f>
        <v>0</v>
      </c>
      <c r="C28" s="10"/>
      <c r="D28" s="10"/>
      <c r="E28" s="7"/>
      <c r="F28" s="6"/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" customHeight="1" x14ac:dyDescent="0.25">
      <c r="A29" s="10">
        <v>4</v>
      </c>
      <c r="B29" s="10">
        <f>VLOOKUP($M$1,'Data Dosen'!$A$1:$T$1199,15,FALSE)</f>
        <v>0</v>
      </c>
      <c r="C29" s="18"/>
      <c r="D29" s="18"/>
      <c r="E29" s="18"/>
      <c r="F29" s="18"/>
      <c r="G29" s="18"/>
      <c r="H29" s="1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" customHeight="1" x14ac:dyDescent="0.25">
      <c r="A30" s="10">
        <v>5</v>
      </c>
      <c r="B30" s="10">
        <f>VLOOKUP($M$1,'Data Dosen'!$A$1:$T$1199,16,FALSE)</f>
        <v>0</v>
      </c>
      <c r="C30" s="10"/>
      <c r="D30" s="10"/>
      <c r="E30" s="10"/>
      <c r="F30" s="6"/>
      <c r="G30" s="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" customHeight="1" x14ac:dyDescent="0.25">
      <c r="A31" s="10"/>
      <c r="B31" s="10"/>
      <c r="C31" s="10"/>
      <c r="D31" s="10"/>
      <c r="E31" s="10"/>
      <c r="F31" s="6"/>
      <c r="G31" s="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" customHeight="1" x14ac:dyDescent="0.25">
      <c r="A32" s="17" t="s">
        <v>89</v>
      </c>
      <c r="B32" s="10"/>
      <c r="C32" s="10"/>
      <c r="D32" s="10"/>
      <c r="E32" s="10"/>
      <c r="F32" s="6"/>
      <c r="G32" s="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5.5" customHeight="1" x14ac:dyDescent="0.25">
      <c r="A33" s="30" t="s">
        <v>71</v>
      </c>
      <c r="B33" s="148">
        <f>VLOOKUP($M$1,'Data Dosen'!$A$1:$T$1199,17,FALSE)</f>
        <v>0</v>
      </c>
      <c r="C33" s="148"/>
      <c r="D33" s="148"/>
      <c r="E33" s="10"/>
      <c r="F33" s="6"/>
      <c r="G33" s="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72.75" customHeight="1" x14ac:dyDescent="0.25">
      <c r="A34" s="30" t="s">
        <v>71</v>
      </c>
      <c r="B34" s="148">
        <f>VLOOKUP($M$1,'Data Dosen'!$A$1:$T$1199,18,FALSE)</f>
        <v>0</v>
      </c>
      <c r="C34" s="148"/>
      <c r="D34" s="148"/>
      <c r="E34" s="7"/>
      <c r="F34" s="7"/>
      <c r="G34" s="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4.75" customHeight="1" x14ac:dyDescent="0.25">
      <c r="A35" s="30" t="s">
        <v>71</v>
      </c>
      <c r="B35" s="148">
        <f>VLOOKUP($M$1,'Data Dosen'!$A$1:$T$1199,19,FALSE)</f>
        <v>0</v>
      </c>
      <c r="C35" s="148"/>
      <c r="D35" s="148"/>
      <c r="E35" s="6"/>
      <c r="F35" s="6"/>
      <c r="G35" s="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A36" s="30" t="s">
        <v>71</v>
      </c>
      <c r="B36" s="148">
        <f>VLOOKUP($M$1,'Data Dosen'!$A$1:$T$1199,20,FALSE)</f>
        <v>0</v>
      </c>
      <c r="C36" s="148"/>
      <c r="D36" s="148"/>
      <c r="E36" s="6"/>
      <c r="F36" s="6"/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" customHeight="1" x14ac:dyDescent="0.25">
      <c r="A37" s="29"/>
      <c r="B37" s="10"/>
      <c r="C37" s="10"/>
      <c r="D37" s="10"/>
      <c r="E37" s="6"/>
      <c r="F37" s="6"/>
      <c r="G37" s="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" customHeight="1" x14ac:dyDescent="0.25">
      <c r="A38" s="7"/>
      <c r="B38" s="7"/>
      <c r="C38" s="7"/>
      <c r="D38" s="6"/>
      <c r="E38" s="6"/>
      <c r="F38" s="6"/>
      <c r="G38" s="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5">
      <c r="A39" s="7"/>
      <c r="B39" s="7" t="s">
        <v>72</v>
      </c>
      <c r="C39" s="7"/>
      <c r="D39" s="6"/>
      <c r="E39" s="6"/>
      <c r="F39" s="6"/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" customHeight="1" x14ac:dyDescent="0.25">
      <c r="A40" s="7"/>
      <c r="B40" s="7" t="s">
        <v>73</v>
      </c>
      <c r="C40" s="7" t="s">
        <v>74</v>
      </c>
      <c r="D40" s="7"/>
      <c r="E40" s="7"/>
      <c r="F40" s="7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" customHeight="1" x14ac:dyDescent="0.25">
      <c r="A41" s="7"/>
      <c r="B41" s="7"/>
      <c r="C41" s="145" t="s">
        <v>75</v>
      </c>
      <c r="D41" s="140"/>
      <c r="E41" s="146" t="s">
        <v>76</v>
      </c>
      <c r="F41" s="140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" customHeight="1" x14ac:dyDescent="0.25">
      <c r="A42" s="7"/>
      <c r="B42" s="7"/>
      <c r="C42" s="19">
        <v>3.2</v>
      </c>
      <c r="D42" s="20" t="s">
        <v>77</v>
      </c>
      <c r="E42" s="147" t="s">
        <v>78</v>
      </c>
      <c r="F42" s="140"/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" customHeight="1" x14ac:dyDescent="0.25">
      <c r="A43" s="7"/>
      <c r="B43" s="21"/>
      <c r="C43" s="22">
        <v>3.66</v>
      </c>
      <c r="D43" s="20" t="s">
        <v>79</v>
      </c>
      <c r="E43" s="147" t="s">
        <v>80</v>
      </c>
      <c r="F43" s="140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" customHeight="1" x14ac:dyDescent="0.25">
      <c r="A44" s="21"/>
      <c r="C44" s="24">
        <v>4.12</v>
      </c>
      <c r="D44" s="25" t="s">
        <v>81</v>
      </c>
      <c r="E44" s="147" t="s">
        <v>82</v>
      </c>
      <c r="F44" s="140"/>
      <c r="G44" s="21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" customHeight="1" x14ac:dyDescent="0.25">
      <c r="A45" s="21"/>
      <c r="B45" s="21"/>
      <c r="C45" s="26">
        <v>4.58</v>
      </c>
      <c r="D45" s="27" t="s">
        <v>83</v>
      </c>
      <c r="E45" s="139" t="s">
        <v>84</v>
      </c>
      <c r="F45" s="140"/>
      <c r="G45" s="21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" customHeight="1" x14ac:dyDescent="0.25">
      <c r="A46" s="21"/>
      <c r="B46" s="23" t="s">
        <v>398</v>
      </c>
      <c r="C46" s="21"/>
      <c r="D46" s="21"/>
      <c r="E46" s="21"/>
      <c r="F46" s="21"/>
      <c r="G46" s="21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" customHeight="1" x14ac:dyDescent="0.25">
      <c r="A47" s="7"/>
      <c r="B47" s="7"/>
      <c r="C47" s="7"/>
      <c r="D47" s="28"/>
      <c r="E47" s="2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" customHeight="1" x14ac:dyDescent="0.25">
      <c r="A48" s="7"/>
      <c r="B48" s="7"/>
      <c r="C48" s="7"/>
      <c r="D48" s="28"/>
      <c r="E48" s="2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" customHeight="1" x14ac:dyDescent="0.25">
      <c r="A49" s="7"/>
      <c r="B49" s="7"/>
      <c r="C49" s="7"/>
      <c r="D49" s="28"/>
      <c r="E49" s="2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</sheetData>
  <mergeCells count="16">
    <mergeCell ref="E45:F45"/>
    <mergeCell ref="A5:H5"/>
    <mergeCell ref="A6:H6"/>
    <mergeCell ref="A7:H7"/>
    <mergeCell ref="A8:H8"/>
    <mergeCell ref="A10:H10"/>
    <mergeCell ref="A16:H16"/>
    <mergeCell ref="C41:D41"/>
    <mergeCell ref="E41:F41"/>
    <mergeCell ref="E42:F42"/>
    <mergeCell ref="E43:F43"/>
    <mergeCell ref="E44:F44"/>
    <mergeCell ref="B33:D33"/>
    <mergeCell ref="B34:D34"/>
    <mergeCell ref="B35:D35"/>
    <mergeCell ref="B36:D36"/>
  </mergeCells>
  <pageMargins left="0.74803149606299213" right="0.74803149606299213" top="0.98425196850393704" bottom="0.98425196850393704" header="0" footer="0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 Dosen</vt:lpstr>
      <vt:lpstr>Skor Bobot</vt:lpstr>
      <vt:lpstr>Skor</vt:lpstr>
      <vt:lpstr>Rata-Rata</vt:lpstr>
      <vt:lpstr>Rapot</vt:lpstr>
      <vt:lpstr>Rapot!Print_Area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Samsul Pahmi</dc:creator>
  <cp:lastModifiedBy>Muhamad Rifqi Maulana</cp:lastModifiedBy>
  <cp:lastPrinted>2026-07-09T01:36:45Z</cp:lastPrinted>
  <dcterms:created xsi:type="dcterms:W3CDTF">2021-09-08T04:24:53Z</dcterms:created>
  <dcterms:modified xsi:type="dcterms:W3CDTF">2026-08-06T07:14:28Z</dcterms:modified>
</cp:coreProperties>
</file>